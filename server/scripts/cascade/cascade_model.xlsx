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del" sheetId="2" state="visible" r:id="rId4"/>
    <sheet name="DCF" sheetId="3" state="visible" r:id="rId5"/>
    <sheet name="Comps" sheetId="4" state="visible" r:id="rId6"/>
    <sheet name="Outpu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<sst xmlns="http://schemas.openxmlformats.org/spreadsheetml/2006/main" count="229" uniqueCount="195">
  <si>
    <t xml:space="preserve">Cascade Industrial Holdings - Model Assumptions</t>
  </si>
  <si>
    <t xml:space="preserve">All figures in $mm unless noted. Blue = input. Black = formula. Green = link to another sheet.</t>
  </si>
  <si>
    <t xml:space="preserve">Operating assumptions</t>
  </si>
  <si>
    <t xml:space="preserve">Revenue growth - FY2026E</t>
  </si>
  <si>
    <t xml:space="preserve">Management plan, Nov 2025 board pack</t>
  </si>
  <si>
    <t xml:space="preserve">Revenue growth - FY2027E</t>
  </si>
  <si>
    <t xml:space="preserve">Revenue growth - FY2028E</t>
  </si>
  <si>
    <t xml:space="preserve">Revenue growth - FY2029E</t>
  </si>
  <si>
    <t xml:space="preserve">Revenue growth - FY2030E</t>
  </si>
  <si>
    <t xml:space="preserve">Gross margin - steady state</t>
  </si>
  <si>
    <t xml:space="preserve">FY2025 actual, held flat</t>
  </si>
  <si>
    <t xml:space="preserve">SG&amp;A as % of revenue</t>
  </si>
  <si>
    <t xml:space="preserve">Normalised, post-synergy run rate</t>
  </si>
  <si>
    <t xml:space="preserve">R&amp;D as % of revenue</t>
  </si>
  <si>
    <t xml:space="preserve">D&amp;A as % of revenue</t>
  </si>
  <si>
    <t xml:space="preserve">Three-year historical average</t>
  </si>
  <si>
    <t xml:space="preserve">Capex as % of revenue</t>
  </si>
  <si>
    <t xml:space="preserve">Management plan</t>
  </si>
  <si>
    <t xml:space="preserve">Change in NWC as % of revenue growth</t>
  </si>
  <si>
    <t xml:space="preserve">Historical working capital intensity</t>
  </si>
  <si>
    <t xml:space="preserve">Tax rate</t>
  </si>
  <si>
    <t xml:space="preserve">Blended federal and state</t>
  </si>
  <si>
    <t xml:space="preserve">Valuation assumptions</t>
  </si>
  <si>
    <t xml:space="preserve">WACC</t>
  </si>
  <si>
    <t xml:space="preserve">CAPM, peer-derived beta</t>
  </si>
  <si>
    <t xml:space="preserve">Terminal growth rate</t>
  </si>
  <si>
    <t xml:space="preserve">Long-run GDP proxy</t>
  </si>
  <si>
    <t xml:space="preserve">Valuation date</t>
  </si>
  <si>
    <t xml:space="preserve">31-Dec-2025</t>
  </si>
  <si>
    <t xml:space="preserve">Assumed close</t>
  </si>
  <si>
    <t xml:space="preserve">Capital structure</t>
  </si>
  <si>
    <t xml:space="preserve">Total debt</t>
  </si>
  <si>
    <t xml:space="preserve">FY2025 balance sheet</t>
  </si>
  <si>
    <t xml:space="preserve">Cash and equivalents</t>
  </si>
  <si>
    <t xml:space="preserve">Diluted shares outstanding (mm)</t>
  </si>
  <si>
    <t xml:space="preserve">FY2025 cap table</t>
  </si>
  <si>
    <t xml:space="preserve">Cascade Industrial Holdings - Operating Model</t>
  </si>
  <si>
    <t xml:space="preserve">$mm, fiscal year ending 31 December</t>
  </si>
  <si>
    <t xml:space="preserve">($ in millions)</t>
  </si>
  <si>
    <t xml:space="preserve">FY2023A</t>
  </si>
  <si>
    <t xml:space="preserve">FY2024A</t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</si>
  <si>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</si>
  <si>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</si>
  <si>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</si>
  <si>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</si>
  <si>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</si>
  <si>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</si>
  <si>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Revenue</t>
  </si>
  <si>
    <t xml:space="preserve">  % growth</t>
  </si>
  <si>
    <t xml:space="preserve">Cost of goods sold</t>
  </si>
  <si>
    <t xml:space="preserve">Gross profit</t>
  </si>
  <si>
    <t xml:space="preserve">  Gross margin %</t>
  </si>
  <si>
    <t xml:space="preserve">Selling, general and administrative</t>
  </si>
  <si>
    <t xml:space="preserve">Research and development</t>
  </si>
  <si>
    <t xml:space="preserve">Reported EBITDA</t>
  </si>
  <si>
    <t xml:space="preserve">  Reported EBITDA margin %</t>
  </si>
  <si>
    <t xml:space="preserve">EBITDA adjustments</t>
  </si>
  <si>
    <t xml:space="preserve">  Legal settlement (one-time)</t>
  </si>
  <si>
    <t xml:space="preserve">Settled Q3 FY2024, non-recurring</t>
  </si>
  <si>
    <t xml:space="preserve">  ERP implementation costs</t>
  </si>
  <si>
    <t xml:space="preserve">Programme completes FY2025</t>
  </si>
  <si>
    <t xml:space="preserve">  Owner compensation normalisation</t>
  </si>
  <si>
    <t xml:space="preserve">Above-market founder comp</t>
  </si>
  <si>
    <t xml:space="preserve">  Run-rate synergies - Verity bolt-on</t>
  </si>
  <si>
    <t xml:space="preserve">Annualised, acquired Aug FY2025</t>
  </si>
  <si>
    <t xml:space="preserve">Total adjustments</t>
  </si>
  <si>
    <t xml:space="preserve">Adjusted EBITDA</t>
  </si>
  <si>
    <t xml:space="preserve">  Adjusted EBITDA margin %</t>
  </si>
  <si>
    <t xml:space="preserve">Unlevered free cash flow</t>
  </si>
  <si>
    <t xml:space="preserve">  Adjusted EBITDA</t>
  </si>
  <si>
    <t xml:space="preserve">  Depreciation and amortisation</t>
  </si>
  <si>
    <t xml:space="preserve">  EBIT</t>
  </si>
  <si>
    <t xml:space="preserve">  Taxes on EBIT</t>
  </si>
  <si>
    <t xml:space="preserve">  Add back D&amp;A</t>
  </si>
  <si>
    <t xml:space="preserve">  Capital expenditure</t>
  </si>
  <si>
    <t xml:space="preserve">  Change in net working capital</t>
  </si>
  <si>
    <t xml:space="preserve">Discounted Cash Flow Analysis</t>
  </si>
  <si>
    <t xml:space="preserve">$mm. Mid-year convention not applied. Valuation date 31-Dec-2025.</t>
  </si>
  <si>
    <t xml:space="preserve">Discount period</t>
  </si>
  <si>
    <t xml:space="preserve">Discount factor</t>
  </si>
  <si>
    <t xml:space="preserve">Present value of FCF</t>
  </si>
  <si>
    <t xml:space="preserve">Valuation bridge</t>
  </si>
  <si>
    <t xml:space="preserve">Sum of PV of forecast FCF</t>
  </si>
  <si>
    <t xml:space="preserve">Terminal value (Gordon growth)</t>
  </si>
  <si>
    <t xml:space="preserve">PV of terminal value</t>
  </si>
  <si>
    <t xml:space="preserve">Enterprise value</t>
  </si>
  <si>
    <t xml:space="preserve">Less: total debt</t>
  </si>
  <si>
    <t xml:space="preserve">Plus: cash and equivalents</t>
  </si>
  <si>
    <t xml:space="preserve">Equity value</t>
  </si>
  <si>
    <t xml:space="preserve">Implied value per share</t>
  </si>
  <si>
    <t xml:space="preserve">Implied EV / FY2025A Adjusted EBITDA</t>
  </si>
  <si>
    <t xml:space="preserve">Implied EV / FY2026E Adjusted EBITDA</t>
  </si>
  <si>
    <t xml:space="preserve">Trading Comparables</t>
  </si>
  <si>
    <t xml:space="preserve">$mm. Market data as of 28-Nov-2025. Source: company filings, FactSet.</t>
  </si>
  <si>
    <t xml:space="preserve">Company</t>
  </si>
  <si>
    <t xml:space="preserve">LTM revenue</t>
  </si>
  <si>
    <t xml:space="preserve">LTM adj. EBITDA</t>
  </si>
  <si>
    <t xml:space="preserve">EV / revenue</t>
  </si>
  <si>
    <t xml:space="preserve">EV / EBITDA</t>
  </si>
  <si>
    <t xml:space="preserve">EBITDA margin</t>
  </si>
  <si>
    <t xml:space="preserve">Meridian Flow Systems</t>
  </si>
  <si>
    <t xml:space="preserve">Halden Controls plc</t>
  </si>
  <si>
    <t xml:space="preserve">Portsend Industrial</t>
  </si>
  <si>
    <t xml:space="preserve">Kestrel Valve Group</t>
  </si>
  <si>
    <t xml:space="preserve">Arbor Fluid Technologies</t>
  </si>
  <si>
    <t xml:space="preserve">Linden Precision Corp</t>
  </si>
  <si>
    <t xml:space="preserve">Mean</t>
  </si>
  <si>
    <t xml:space="preserve">Median</t>
  </si>
  <si>
    <t xml:space="preserve">Low</t>
  </si>
  <si>
    <t xml:space="preserve">High</t>
  </si>
  <si>
    <t xml:space="preserve">Implied valuation - Cascade Industrial Holdings</t>
  </si>
  <si>
    <t xml:space="preserve">FY2025A adjusted EBITDA</t>
  </si>
  <si>
    <t xml:space="preserve">Median peer EV / EBITDA</t>
  </si>
  <si>
    <t xml:space="preserve">Implied enterprise value</t>
  </si>
  <si>
    <t xml:space="preserve">Deck Outputs - every figure presented in the pitchbook</t>
  </si>
  <si>
    <t xml:space="preserve">Each row is one figure that appears on a slide. The deck should agree with this sheet.</t>
  </si>
  <si>
    <t xml:space="preserve">Ref</t>
  </si>
  <si>
    <t xml:space="preserve">Figure</t>
  </si>
  <si>
    <t xml:space="preserve">Value</t>
  </si>
  <si>
    <t xml:space="preserve">Source</t>
  </si>
  <si>
    <t xml:space="preserve">Basis</t>
  </si>
  <si>
    <t xml:space="preserve">O1</t>
  </si>
  <si>
    <t xml:space="preserve">FY2025A revenue</t>
  </si>
  <si>
    <t xml:space="preserve">Model!D6</t>
  </si>
  <si>
    <t xml:space="preserve">Reported</t>
  </si>
  <si>
    <t xml:space="preserve">O2</t>
  </si>
  <si>
    <t xml:space="preserve">FY2025A revenue growth</t>
  </si>
  <si>
    <t xml:space="preserve">Model!D7</t>
  </si>
  <si>
    <t xml:space="preserve">O3</t>
  </si>
  <si>
    <t xml:space="preserve">FY2025A gross margin</t>
  </si>
  <si>
    <t xml:space="preserve">Model!D11</t>
  </si>
  <si>
    <t xml:space="preserve">O4</t>
  </si>
  <si>
    <t xml:space="preserve">FY2025A reported EBITDA</t>
  </si>
  <si>
    <t xml:space="preserve">Model!D16</t>
  </si>
  <si>
    <t xml:space="preserve">O5</t>
  </si>
  <si>
    <t xml:space="preserve">Model!D25</t>
  </si>
  <si>
    <t xml:space="preserve">Adjusted - see bridge</t>
  </si>
  <si>
    <t xml:space="preserve">O6</t>
  </si>
  <si>
    <t xml:space="preserve">FY2025A adjusted EBITDA margin</t>
  </si>
  <si>
    <t xml:space="preserve">Model!D26</t>
  </si>
  <si>
    <t xml:space="preserve">Adjusted</t>
  </si>
  <si>
    <t xml:space="preserve">O7</t>
  </si>
  <si>
    <t xml:space="preserve">FY2026E revenue</t>
  </si>
  <si>
    <t xml:space="preserve">Model!E6</t>
  </si>
  <si>
    <t xml:space="preserve">O8</t>
  </si>
  <si>
    <t xml:space="preserve">FY2026E adjusted EBITDA</t>
  </si>
  <si>
    <t xml:space="preserve">Model!E25</t>
  </si>
  <si>
    <t xml:space="preserve">O9</t>
  </si>
  <si>
    <t xml:space="preserve">FY2030E revenue</t>
  </si>
  <si>
    <t xml:space="preserve">Model!I6</t>
  </si>
  <si>
    <t xml:space="preserve">O10</t>
  </si>
  <si>
    <t xml:space="preserve">FY2030E adjusted EBITDA</t>
  </si>
  <si>
    <t xml:space="preserve">Model!I25</t>
  </si>
  <si>
    <t xml:space="preserve">O11</t>
  </si>
  <si>
    <t xml:space="preserve">Revenue CAGR FY2025A-FY2030E</t>
  </si>
  <si>
    <t xml:space="preserve">Model!D6, I6</t>
  </si>
  <si>
    <t xml:space="preserve">Computed</t>
  </si>
  <si>
    <t xml:space="preserve">O12</t>
  </si>
  <si>
    <t xml:space="preserve">Total FY2025A EBITDA adjustments</t>
  </si>
  <si>
    <t xml:space="preserve">Model!D24</t>
  </si>
  <si>
    <t xml:space="preserve">Adjustment total</t>
  </si>
  <si>
    <t xml:space="preserve">O13</t>
  </si>
  <si>
    <t xml:space="preserve">DCF enterprise value</t>
  </si>
  <si>
    <t xml:space="preserve">DCF!B16</t>
  </si>
  <si>
    <t xml:space="preserve">DCF, Gordon growth</t>
  </si>
  <si>
    <t xml:space="preserve">O14</t>
  </si>
  <si>
    <t xml:space="preserve">DCF equity value</t>
  </si>
  <si>
    <t xml:space="preserve">DCF!B19</t>
  </si>
  <si>
    <t xml:space="preserve">DCF</t>
  </si>
  <si>
    <t xml:space="preserve">O15</t>
  </si>
  <si>
    <t xml:space="preserve">DCF implied value per share</t>
  </si>
  <si>
    <t xml:space="preserve">DCF!B21</t>
  </si>
  <si>
    <t xml:space="preserve">O16</t>
  </si>
  <si>
    <t xml:space="preserve">DCF implied EV / FY2025A adj. EBITDA</t>
  </si>
  <si>
    <t xml:space="preserve">DCF!B23</t>
  </si>
  <si>
    <t xml:space="preserve">O17</t>
  </si>
  <si>
    <t xml:space="preserve">Assumptions!B19</t>
  </si>
  <si>
    <t xml:space="preserve">Input</t>
  </si>
  <si>
    <t xml:space="preserve">O18</t>
  </si>
  <si>
    <t xml:space="preserve">Assumptions!B20</t>
  </si>
  <si>
    <t xml:space="preserve">O19</t>
  </si>
  <si>
    <t xml:space="preserve">Peer median EV / EBITDA</t>
  </si>
  <si>
    <t xml:space="preserve">Comps!F13</t>
  </si>
  <si>
    <t xml:space="preserve">Trading comps</t>
  </si>
  <si>
    <t xml:space="preserve">O20</t>
  </si>
  <si>
    <t xml:space="preserve">Peer mean EV / EBITDA</t>
  </si>
  <si>
    <t xml:space="preserve">Comps!F12</t>
  </si>
  <si>
    <t xml:space="preserve">O21</t>
  </si>
  <si>
    <t xml:space="preserve">Comps-implied enterprise value</t>
  </si>
  <si>
    <t xml:space="preserve">Comps!B20</t>
  </si>
  <si>
    <t xml:space="preserve">O22</t>
  </si>
  <si>
    <t xml:space="preserve">Assumptions!B24</t>
  </si>
  <si>
    <t xml:space="preserve">Balance sheet</t>
  </si>
  <si>
    <t xml:space="preserve">O23</t>
  </si>
  <si>
    <t xml:space="preserve">Assumptions!B25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</si>
</sst>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\$#,##0.0;&quot;($&quot;#,##0.0\);\-"/>
    <numFmt numFmtId="167" formatCode="#,##0.0"/>
    <numFmt numFmtId="168" formatCode="0.0"/>
    <numFmt numFmtId="169" formatCode="0.000"/>
    <numFmt numFmtId="170" formatCode="\$#,##0.00"/>
    <numFmt numFmtId="171" formatCode="0.0\x"/>
    <numFmt numFmtId="172" formatCode="\$#,##0;&quot;($&quot;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4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15" hidden="false" customHeight="false" outlineLevel="0" collapsed="false">
      <c r="A5" s="5" t="s">
        <v>3</v>
      </c>
      <c r="B5" s="6" t="n">
        <v>0.118</v>
      </c>
      <c r="C5" s="2" t="s">
        <v>4</v>
      </c>
    </row>
    <row r="6" customFormat="false" ht="15" hidden="false" customHeight="false" outlineLevel="0" collapsed="false">
      <c r="A6" s="5" t="s">
        <v>5</v>
      </c>
      <c r="B6" s="6" t="n">
        <v>0.105</v>
      </c>
      <c r="C6" s="2" t="s">
        <v>4</v>
      </c>
    </row>
    <row r="7" customFormat="false" ht="15" hidden="false" customHeight="false" outlineLevel="0" collapsed="false">
      <c r="A7" s="5" t="s">
        <v>6</v>
      </c>
      <c r="B7" s="6" t="n">
        <v>0.092</v>
      </c>
      <c r="C7" s="2" t="s">
        <v>4</v>
      </c>
    </row>
    <row r="8" customFormat="false" ht="15" hidden="false" customHeight="false" outlineLevel="0" collapsed="false">
      <c r="A8" s="5" t="s">
        <v>7</v>
      </c>
      <c r="B8" s="6" t="n">
        <v>0.08</v>
      </c>
      <c r="C8" s="2" t="s">
        <v>4</v>
      </c>
    </row>
    <row r="9" customFormat="false" ht="15" hidden="false" customHeight="false" outlineLevel="0" collapsed="false">
      <c r="A9" s="5" t="s">
        <v>8</v>
      </c>
      <c r="B9" s="6" t="n">
        <v>0.07</v>
      </c>
      <c r="C9" s="2" t="s">
        <v>4</v>
      </c>
    </row>
    <row r="10" customFormat="false" ht="15" hidden="false" customHeight="false" outlineLevel="0" collapsed="false">
      <c r="A10" s="5" t="s">
        <v>9</v>
      </c>
      <c r="B10" s="6" t="n">
        <v>0.382</v>
      </c>
      <c r="C10" s="2" t="s">
        <v>10</v>
      </c>
    </row>
    <row r="11" customFormat="false" ht="15" hidden="false" customHeight="false" outlineLevel="0" collapsed="false">
      <c r="A11" s="5" t="s">
        <v>11</v>
      </c>
      <c r="B11" s="6" t="n">
        <v>0.128</v>
      </c>
      <c r="C11" s="2" t="s">
        <v>12</v>
      </c>
    </row>
    <row r="12" customFormat="false" ht="15" hidden="false" customHeight="false" outlineLevel="0" collapsed="false">
      <c r="A12" s="5" t="s">
        <v>13</v>
      </c>
      <c r="B12" s="6" t="n">
        <v>0.054</v>
      </c>
      <c r="C12" s="2" t="s">
        <v>12</v>
      </c>
    </row>
    <row r="13" customFormat="false" ht="15" hidden="false" customHeight="false" outlineLevel="0" collapsed="false">
      <c r="A13" s="5" t="s">
        <v>14</v>
      </c>
      <c r="B13" s="6" t="n">
        <v>0.041</v>
      </c>
      <c r="C13" s="2" t="s">
        <v>15</v>
      </c>
    </row>
    <row r="14" customFormat="false" ht="15" hidden="false" customHeight="false" outlineLevel="0" collapsed="false">
      <c r="A14" s="5" t="s">
        <v>16</v>
      </c>
      <c r="B14" s="6" t="n">
        <v>0.036</v>
      </c>
      <c r="C14" s="2" t="s">
        <v>17</v>
      </c>
    </row>
    <row r="15" customFormat="false" ht="15" hidden="false" customHeight="false" outlineLevel="0" collapsed="false">
      <c r="A15" s="5" t="s">
        <v>18</v>
      </c>
      <c r="B15" s="6" t="n">
        <v>0.145</v>
      </c>
      <c r="C15" s="2" t="s">
        <v>19</v>
      </c>
    </row>
    <row r="16" customFormat="false" ht="15" hidden="false" customHeight="false" outlineLevel="0" collapsed="false">
      <c r="A16" s="5" t="s">
        <v>20</v>
      </c>
      <c r="B16" s="6" t="n">
        <v>0.25</v>
      </c>
      <c r="C16" s="2" t="s">
        <v>21</v>
      </c>
    </row>
    <row r="18" customFormat="false" ht="15" hidden="false" customHeight="false" outlineLevel="0" collapsed="false">
      <c r="A18" s="3" t="s">
        <v>22</v>
      </c>
      <c r="B18" s="4"/>
      <c r="C18" s="4"/>
    </row>
    <row r="19" customFormat="false" ht="15" hidden="false" customHeight="false" outlineLevel="0" collapsed="false">
      <c r="A19" s="5" t="s">
        <v>23</v>
      </c>
      <c r="B19" s="6" t="n">
        <v>0.098</v>
      </c>
      <c r="C19" s="2" t="s">
        <v>24</v>
      </c>
    </row>
    <row r="20" customFormat="false" ht="15" hidden="false" customHeight="false" outlineLevel="0" collapsed="false">
      <c r="A20" s="5" t="s">
        <v>25</v>
      </c>
      <c r="B20" s="6" t="n">
        <v>0.025</v>
      </c>
      <c r="C20" s="2" t="s">
        <v>26</v>
      </c>
    </row>
    <row r="21" customFormat="false" ht="15" hidden="false" customHeight="false" outlineLevel="0" collapsed="false">
      <c r="A21" s="5" t="s">
        <v>27</v>
      </c>
      <c r="B21" s="7" t="s">
        <v>28</v>
      </c>
      <c r="C21" s="2" t="s">
        <v>29</v>
      </c>
    </row>
    <row r="23" customFormat="false" ht="15" hidden="false" customHeight="false" outlineLevel="0" collapsed="false">
      <c r="A23" s="3" t="s">
        <v>30</v>
      </c>
      <c r="B23" s="4"/>
      <c r="C23" s="4"/>
    </row>
    <row r="24" customFormat="false" ht="15" hidden="false" customHeight="false" outlineLevel="0" collapsed="false">
      <c r="A24" s="5" t="s">
        <v>31</v>
      </c>
      <c r="B24" s="8" t="n">
        <v>96.4</v>
      </c>
      <c r="C24" s="2" t="s">
        <v>32</v>
      </c>
    </row>
    <row r="25" customFormat="false" ht="15" hidden="false" customHeight="false" outlineLevel="0" collapsed="false">
      <c r="A25" s="5" t="s">
        <v>33</v>
      </c>
      <c r="B25" s="8" t="n">
        <v>21.7</v>
      </c>
      <c r="C25" s="2" t="s">
        <v>32</v>
      </c>
    </row>
    <row r="26" customFormat="false" ht="15" hidden="false" customHeight="false" outlineLevel="0" collapsed="false">
      <c r="A26" s="5" t="s">
        <v>34</v>
      </c>
      <c r="B26" s="9" t="n">
        <v>42.8</v>
      </c>
      <c r="C26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9" min="2" style="0" width="12"/>
    <col collapsed="false" customWidth="true" hidden="false" outlineLevel="0" max="11" min="11" style="0" width="40"/>
  </cols>
  <sheetData>
    <row r="1" customFormat="false" ht="1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15" hidden="false" customHeight="false" outlineLevel="0" collapsed="false">
      <c r="A4" s="10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</row>
    <row r="6" customFormat="false" ht="15" hidden="false" customHeight="false" outlineLevel="0" collapsed="false">
      <c r="A6" s="12" t="s">
        <v>47</v>
      </c>
      <c r="B6" s="13" t="n">
        <v>182.4</v>
      </c>
      <c r="C6" s="13" t="n">
        <v>204.7</v>
      </c>
      <c r="D6" s="13" t="n">
        <v>228.9</v>
      </c>
      <c r="E6" s="14" t="n">
        <f aca="false">D6*(1+Assumptions!$B$5)</f>
        <v>255.9102</v>
      </c>
      <c r="F6" s="14" t="n">
        <f aca="false">E6*(1+Assumptions!$B$6)</f>
        <v>282.780771</v>
      </c>
      <c r="G6" s="14" t="n">
        <f aca="false">F6*(1+Assumptions!$B$7)</f>
        <v>308.796601932</v>
      </c>
      <c r="H6" s="14" t="n">
        <f aca="false">G6*(1+Assumptions!$B$8)</f>
        <v>333.50033008656</v>
      </c>
      <c r="I6" s="14" t="n">
        <f aca="false">H6*(1+Assumptions!$B$9)</f>
        <v>356.845353192619</v>
      </c>
    </row>
    <row r="7" customFormat="false" ht="15" hidden="false" customHeight="false" outlineLevel="0" collapsed="false">
      <c r="A7" s="5" t="s">
        <v>48</v>
      </c>
      <c r="C7" s="15" t="n">
        <f aca="false">C6/B6-1</f>
        <v>0.122258771929824</v>
      </c>
      <c r="D7" s="15" t="n">
        <f aca="false">D6/C6-1</f>
        <v>0.118221787982413</v>
      </c>
      <c r="E7" s="15" t="n">
        <f aca="false">E6/D6-1</f>
        <v>0.118</v>
      </c>
      <c r="F7" s="15" t="n">
        <f aca="false">F6/E6-1</f>
        <v>0.105</v>
      </c>
      <c r="G7" s="15" t="n">
        <f aca="false">G6/F6-1</f>
        <v>0.0920000000000001</v>
      </c>
      <c r="H7" s="15" t="n">
        <f aca="false">H6/G6-1</f>
        <v>0.0800000000000001</v>
      </c>
      <c r="I7" s="15" t="n">
        <f aca="false">I6/H6-1</f>
        <v>0.0700000000000001</v>
      </c>
    </row>
    <row r="9" customFormat="false" ht="15" hidden="false" customHeight="false" outlineLevel="0" collapsed="false">
      <c r="A9" s="5" t="s">
        <v>49</v>
      </c>
      <c r="B9" s="13" t="n">
        <v>-115.9</v>
      </c>
      <c r="C9" s="13" t="n">
        <v>-128.4</v>
      </c>
      <c r="D9" s="13" t="n">
        <v>-141.5</v>
      </c>
      <c r="E9" s="14" t="n">
        <f aca="false">-E6*(1-Assumptions!$B$10)</f>
        <v>-158.1525036</v>
      </c>
      <c r="F9" s="14" t="n">
        <f aca="false">-F6*(1-Assumptions!$B$10)</f>
        <v>-174.758516478</v>
      </c>
      <c r="G9" s="14" t="n">
        <f aca="false">-G6*(1-Assumptions!$B$10)</f>
        <v>-190.836299993976</v>
      </c>
      <c r="H9" s="14" t="n">
        <f aca="false">-H6*(1-Assumptions!$B$10)</f>
        <v>-206.103203993494</v>
      </c>
      <c r="I9" s="14" t="n">
        <f aca="false">-I6*(1-Assumptions!$B$10)</f>
        <v>-220.530428273039</v>
      </c>
    </row>
    <row r="10" customFormat="false" ht="15" hidden="false" customHeight="false" outlineLevel="0" collapsed="false">
      <c r="A10" s="12" t="s">
        <v>50</v>
      </c>
      <c r="B10" s="16" t="n">
        <f aca="false">B6+B9</f>
        <v>66.5</v>
      </c>
      <c r="C10" s="16" t="n">
        <f aca="false">C6+C9</f>
        <v>76.3</v>
      </c>
      <c r="D10" s="16" t="n">
        <f aca="false">D6+D9</f>
        <v>87.4</v>
      </c>
      <c r="E10" s="16" t="n">
        <f aca="false">E6+E9</f>
        <v>97.7576964</v>
      </c>
      <c r="F10" s="16" t="n">
        <f aca="false">F6+F9</f>
        <v>108.022254522</v>
      </c>
      <c r="G10" s="16" t="n">
        <f aca="false">G6+G9</f>
        <v>117.960301938024</v>
      </c>
      <c r="H10" s="16" t="n">
        <f aca="false">H6+H9</f>
        <v>127.397126093066</v>
      </c>
      <c r="I10" s="16" t="n">
        <f aca="false">I6+I9</f>
        <v>136.314924919581</v>
      </c>
    </row>
    <row r="11" customFormat="false" ht="15" hidden="false" customHeight="false" outlineLevel="0" collapsed="false">
      <c r="A11" s="5" t="s">
        <v>51</v>
      </c>
      <c r="B11" s="15" t="n">
        <f aca="false">B10/B6</f>
        <v>0.364583333333333</v>
      </c>
      <c r="C11" s="15" t="n">
        <f aca="false">C10/C6</f>
        <v>0.372740595994138</v>
      </c>
      <c r="D11" s="15" t="n">
        <f aca="false">D10/D6</f>
        <v>0.381826124945391</v>
      </c>
      <c r="E11" s="15" t="n">
        <f aca="false">E10/E6</f>
        <v>0.382</v>
      </c>
      <c r="F11" s="15" t="n">
        <f aca="false">F10/F6</f>
        <v>0.382</v>
      </c>
      <c r="G11" s="15" t="n">
        <f aca="false">G10/G6</f>
        <v>0.382</v>
      </c>
      <c r="H11" s="15" t="n">
        <f aca="false">H10/H6</f>
        <v>0.382</v>
      </c>
      <c r="I11" s="15" t="n">
        <f aca="false">I10/I6</f>
        <v>0.382</v>
      </c>
    </row>
    <row r="13" customFormat="false" ht="15" hidden="false" customHeight="false" outlineLevel="0" collapsed="false">
      <c r="A13" s="5" t="s">
        <v>52</v>
      </c>
      <c r="B13" s="13" t="n">
        <v>-26.8</v>
      </c>
      <c r="C13" s="13" t="n">
        <v>-29.9</v>
      </c>
      <c r="D13" s="13" t="n">
        <v>-32.9</v>
      </c>
      <c r="E13" s="14" t="n">
        <f aca="false">-E6*Assumptions!$B$11</f>
        <v>-32.7565056</v>
      </c>
      <c r="F13" s="14" t="n">
        <f aca="false">-F6*Assumptions!$B$11</f>
        <v>-36.195938688</v>
      </c>
      <c r="G13" s="14" t="n">
        <f aca="false">-G6*Assumptions!$B$11</f>
        <v>-39.525965047296</v>
      </c>
      <c r="H13" s="14" t="n">
        <f aca="false">-H6*Assumptions!$B$11</f>
        <v>-42.6880422510797</v>
      </c>
      <c r="I13" s="14" t="n">
        <f aca="false">-I6*Assumptions!$B$11</f>
        <v>-45.6762052086553</v>
      </c>
    </row>
    <row r="14" customFormat="false" ht="15" hidden="false" customHeight="false" outlineLevel="0" collapsed="false">
      <c r="A14" s="5" t="s">
        <v>53</v>
      </c>
      <c r="B14" s="13" t="n">
        <v>-10.5</v>
      </c>
      <c r="C14" s="13" t="n">
        <v>-11.9</v>
      </c>
      <c r="D14" s="13" t="n">
        <v>-13.3</v>
      </c>
      <c r="E14" s="14" t="n">
        <f aca="false">-E6*Assumptions!$B$12</f>
        <v>-13.8191508</v>
      </c>
      <c r="F14" s="14" t="n">
        <f aca="false">-F6*Assumptions!$B$12</f>
        <v>-15.270161634</v>
      </c>
      <c r="G14" s="14" t="n">
        <f aca="false">-G6*Assumptions!$B$12</f>
        <v>-16.675016504328</v>
      </c>
      <c r="H14" s="14" t="n">
        <f aca="false">-H6*Assumptions!$B$12</f>
        <v>-18.0090178246742</v>
      </c>
      <c r="I14" s="14" t="n">
        <f aca="false">-I6*Assumptions!$B$12</f>
        <v>-19.2696490724014</v>
      </c>
    </row>
    <row r="16" customFormat="false" ht="15" hidden="false" customHeight="false" outlineLevel="0" collapsed="false">
      <c r="A16" s="12" t="s">
        <v>54</v>
      </c>
      <c r="B16" s="16" t="n">
        <f aca="false">B10+B13+B14</f>
        <v>29.2</v>
      </c>
      <c r="C16" s="16" t="n">
        <f aca="false">C10+C13+C14</f>
        <v>34.5</v>
      </c>
      <c r="D16" s="16" t="n">
        <f aca="false">D10+D13+D14</f>
        <v>41.2</v>
      </c>
      <c r="E16" s="16" t="n">
        <f aca="false">E10+E13+E14</f>
        <v>51.18204</v>
      </c>
      <c r="F16" s="16" t="n">
        <f aca="false">F10+F13+F14</f>
        <v>56.5561542</v>
      </c>
      <c r="G16" s="16" t="n">
        <f aca="false">G10+G13+G14</f>
        <v>61.7593203864</v>
      </c>
      <c r="H16" s="16" t="n">
        <f aca="false">H10+H13+H14</f>
        <v>66.700066017312</v>
      </c>
      <c r="I16" s="16" t="n">
        <f aca="false">I10+I13+I14</f>
        <v>71.3690706385238</v>
      </c>
    </row>
    <row r="17" customFormat="false" ht="15" hidden="false" customHeight="false" outlineLevel="0" collapsed="false">
      <c r="A17" s="5" t="s">
        <v>55</v>
      </c>
      <c r="B17" s="15" t="n">
        <f aca="false">B16/B6</f>
        <v>0.160087719298246</v>
      </c>
      <c r="C17" s="15" t="n">
        <f aca="false">C16/C6</f>
        <v>0.168539325842697</v>
      </c>
      <c r="D17" s="15" t="n">
        <f aca="false">D16/D6</f>
        <v>0.17999126256007</v>
      </c>
      <c r="E17" s="15" t="n">
        <f aca="false">E16/E6</f>
        <v>0.2</v>
      </c>
      <c r="F17" s="15" t="n">
        <f aca="false">F16/F6</f>
        <v>0.2</v>
      </c>
      <c r="G17" s="15" t="n">
        <f aca="false">G16/G6</f>
        <v>0.2</v>
      </c>
      <c r="H17" s="15" t="n">
        <f aca="false">H16/H6</f>
        <v>0.2</v>
      </c>
      <c r="I17" s="15" t="n">
        <f aca="false">I16/I6</f>
        <v>0.2</v>
      </c>
    </row>
    <row r="19" customFormat="false" ht="15" hidden="false" customHeight="false" outlineLevel="0" collapsed="false">
      <c r="A19" s="3" t="s">
        <v>56</v>
      </c>
      <c r="B19" s="4"/>
      <c r="C19" s="4"/>
      <c r="D19" s="4"/>
      <c r="E19" s="4"/>
      <c r="F19" s="4"/>
      <c r="G19" s="4"/>
      <c r="H19" s="4"/>
      <c r="I19" s="4"/>
    </row>
    <row r="20" customFormat="false" ht="15" hidden="false" customHeight="false" outlineLevel="0" collapsed="false">
      <c r="A20" s="5" t="s">
        <v>57</v>
      </c>
      <c r="B20" s="13" t="n">
        <v>0</v>
      </c>
      <c r="C20" s="13" t="n">
        <v>2.4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K20" s="2" t="s">
        <v>58</v>
      </c>
    </row>
    <row r="21" customFormat="false" ht="15" hidden="false" customHeight="false" outlineLevel="0" collapsed="false">
      <c r="A21" s="5" t="s">
        <v>59</v>
      </c>
      <c r="B21" s="13" t="n">
        <v>0</v>
      </c>
      <c r="C21" s="13" t="n">
        <v>1.1</v>
      </c>
      <c r="D21" s="13" t="n">
        <v>2.8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K21" s="2" t="s">
        <v>60</v>
      </c>
    </row>
    <row r="22" customFormat="false" ht="15" hidden="false" customHeight="false" outlineLevel="0" collapsed="false">
      <c r="A22" s="5" t="s">
        <v>61</v>
      </c>
      <c r="B22" s="13" t="n">
        <v>1.6</v>
      </c>
      <c r="C22" s="13" t="n">
        <v>1.6</v>
      </c>
      <c r="D22" s="13" t="n">
        <v>1.7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K22" s="2" t="s">
        <v>62</v>
      </c>
    </row>
    <row r="23" customFormat="false" ht="15" hidden="false" customHeight="false" outlineLevel="0" collapsed="false">
      <c r="A23" s="5" t="s">
        <v>63</v>
      </c>
      <c r="B23" s="13" t="n">
        <v>0</v>
      </c>
      <c r="C23" s="13" t="n">
        <v>0</v>
      </c>
      <c r="D23" s="13" t="n">
        <v>3.2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K23" s="2" t="s">
        <v>64</v>
      </c>
    </row>
    <row r="24" customFormat="false" ht="15" hidden="false" customHeight="false" outlineLevel="0" collapsed="false">
      <c r="A24" s="12" t="s">
        <v>65</v>
      </c>
      <c r="B24" s="16" t="n">
        <f aca="false">SUM(B20:B23)</f>
        <v>1.6</v>
      </c>
      <c r="C24" s="16" t="n">
        <f aca="false">SUM(C20:C23)</f>
        <v>5.1</v>
      </c>
      <c r="D24" s="16" t="n">
        <f aca="false">SUM(D20:D23)</f>
        <v>7.7</v>
      </c>
      <c r="E24" s="16" t="n">
        <f aca="false">SUM(E20:E23)</f>
        <v>0</v>
      </c>
      <c r="F24" s="16" t="n">
        <f aca="false">SUM(F20:F23)</f>
        <v>0</v>
      </c>
      <c r="G24" s="16" t="n">
        <f aca="false">SUM(G20:G23)</f>
        <v>0</v>
      </c>
      <c r="H24" s="16" t="n">
        <f aca="false">SUM(H20:H23)</f>
        <v>0</v>
      </c>
      <c r="I24" s="16" t="n">
        <f aca="false">SUM(I20:I23)</f>
        <v>0</v>
      </c>
    </row>
    <row r="26" customFormat="false" ht="15" hidden="false" customHeight="false" outlineLevel="0" collapsed="false">
      <c r="A26" s="12" t="s">
        <v>66</v>
      </c>
      <c r="B26" s="17" t="n">
        <f aca="false">B16+B24</f>
        <v>30.8</v>
      </c>
      <c r="C26" s="17" t="n">
        <f aca="false">C16+C24</f>
        <v>39.6</v>
      </c>
      <c r="D26" s="17" t="n">
        <f aca="false">D16+D24</f>
        <v>48.9</v>
      </c>
      <c r="E26" s="17" t="n">
        <f aca="false">E16+E24</f>
        <v>51.18204</v>
      </c>
      <c r="F26" s="17" t="n">
        <f aca="false">F16+F24</f>
        <v>56.5561542</v>
      </c>
      <c r="G26" s="17" t="n">
        <f aca="false">G16+G24</f>
        <v>61.7593203864</v>
      </c>
      <c r="H26" s="17" t="n">
        <f aca="false">H16+H24</f>
        <v>66.700066017312</v>
      </c>
      <c r="I26" s="17" t="n">
        <f aca="false">I16+I24</f>
        <v>71.3690706385238</v>
      </c>
    </row>
    <row r="27" customFormat="false" ht="15" hidden="false" customHeight="false" outlineLevel="0" collapsed="false">
      <c r="A27" s="5" t="s">
        <v>67</v>
      </c>
      <c r="B27" s="15" t="n">
        <f aca="false">B26/B6</f>
        <v>0.168859649122807</v>
      </c>
      <c r="C27" s="15" t="n">
        <f aca="false">C26/C6</f>
        <v>0.193453834880313</v>
      </c>
      <c r="D27" s="15" t="n">
        <f aca="false">D26/D6</f>
        <v>0.213630406290957</v>
      </c>
      <c r="E27" s="15" t="n">
        <f aca="false">E26/E6</f>
        <v>0.2</v>
      </c>
      <c r="F27" s="15" t="n">
        <f aca="false">F26/F6</f>
        <v>0.2</v>
      </c>
      <c r="G27" s="15" t="n">
        <f aca="false">G26/G6</f>
        <v>0.2</v>
      </c>
      <c r="H27" s="15" t="n">
        <f aca="false">H26/H6</f>
        <v>0.2</v>
      </c>
      <c r="I27" s="15" t="n">
        <f aca="false">I26/I6</f>
        <v>0.2</v>
      </c>
    </row>
    <row r="29" customFormat="false" ht="15" hidden="false" customHeight="false" outlineLevel="0" collapsed="false">
      <c r="A29" s="3" t="s">
        <v>68</v>
      </c>
      <c r="B29" s="4"/>
      <c r="C29" s="4"/>
      <c r="D29" s="4"/>
      <c r="E29" s="4"/>
      <c r="F29" s="4"/>
      <c r="G29" s="4"/>
      <c r="H29" s="4"/>
      <c r="I29" s="4"/>
    </row>
    <row r="30" customFormat="false" ht="15" hidden="false" customHeight="false" outlineLevel="0" collapsed="false">
      <c r="A30" s="5" t="s">
        <v>69</v>
      </c>
      <c r="B30" s="14" t="n">
        <f aca="false">B26</f>
        <v>30.8</v>
      </c>
      <c r="C30" s="14" t="n">
        <f aca="false">C26</f>
        <v>39.6</v>
      </c>
      <c r="D30" s="14" t="n">
        <f aca="false">D26</f>
        <v>48.9</v>
      </c>
      <c r="E30" s="14" t="n">
        <f aca="false">E26</f>
        <v>51.18204</v>
      </c>
      <c r="F30" s="14" t="n">
        <f aca="false">F26</f>
        <v>56.5561542</v>
      </c>
      <c r="G30" s="14" t="n">
        <f aca="false">G26</f>
        <v>61.7593203864</v>
      </c>
      <c r="H30" s="14" t="n">
        <f aca="false">H26</f>
        <v>66.700066017312</v>
      </c>
      <c r="I30" s="14" t="n">
        <f aca="false">I26</f>
        <v>71.3690706385238</v>
      </c>
    </row>
    <row r="31" customFormat="false" ht="15" hidden="false" customHeight="false" outlineLevel="0" collapsed="false">
      <c r="A31" s="5" t="s">
        <v>70</v>
      </c>
      <c r="B31" s="14" t="n">
        <f aca="false">-B6*Assumptions!$B$13</f>
        <v>-7.4784</v>
      </c>
      <c r="C31" s="14" t="n">
        <f aca="false">-C6*Assumptions!$B$13</f>
        <v>-8.3927</v>
      </c>
      <c r="D31" s="14" t="n">
        <f aca="false">-D6*Assumptions!$B$13</f>
        <v>-9.3849</v>
      </c>
      <c r="E31" s="14" t="n">
        <f aca="false">-E6*Assumptions!$B$13</f>
        <v>-10.4923182</v>
      </c>
      <c r="F31" s="14" t="n">
        <f aca="false">-F6*Assumptions!$B$13</f>
        <v>-11.594011611</v>
      </c>
      <c r="G31" s="14" t="n">
        <f aca="false">-G6*Assumptions!$B$13</f>
        <v>-12.660660679212</v>
      </c>
      <c r="H31" s="14" t="n">
        <f aca="false">-H6*Assumptions!$B$13</f>
        <v>-13.673513533549</v>
      </c>
      <c r="I31" s="14" t="n">
        <f aca="false">-I6*Assumptions!$B$13</f>
        <v>-14.6306594808974</v>
      </c>
    </row>
    <row r="32" customFormat="false" ht="15" hidden="false" customHeight="false" outlineLevel="0" collapsed="false">
      <c r="A32" s="5" t="s">
        <v>71</v>
      </c>
      <c r="B32" s="18" t="n">
        <f aca="false">B30+B31</f>
        <v>23.3216</v>
      </c>
      <c r="C32" s="18" t="n">
        <f aca="false">C30+C31</f>
        <v>31.2073</v>
      </c>
      <c r="D32" s="18" t="n">
        <f aca="false">D30+D31</f>
        <v>39.5151</v>
      </c>
      <c r="E32" s="18" t="n">
        <f aca="false">E30+E31</f>
        <v>40.6897218</v>
      </c>
      <c r="F32" s="18" t="n">
        <f aca="false">F30+F31</f>
        <v>44.962142589</v>
      </c>
      <c r="G32" s="18" t="n">
        <f aca="false">G30+G31</f>
        <v>49.098659707188</v>
      </c>
      <c r="H32" s="18" t="n">
        <f aca="false">H30+H31</f>
        <v>53.026552483763</v>
      </c>
      <c r="I32" s="18" t="n">
        <f aca="false">I30+I31</f>
        <v>56.7384111576265</v>
      </c>
    </row>
    <row r="33" customFormat="false" ht="15" hidden="false" customHeight="false" outlineLevel="0" collapsed="false">
      <c r="A33" s="5" t="s">
        <v>72</v>
      </c>
      <c r="B33" s="14" t="n">
        <f aca="false">-B32*Assumptions!$B$16</f>
        <v>-5.8304</v>
      </c>
      <c r="C33" s="14" t="n">
        <f aca="false">-C32*Assumptions!$B$16</f>
        <v>-7.801825</v>
      </c>
      <c r="D33" s="14" t="n">
        <f aca="false">-D32*Assumptions!$B$16</f>
        <v>-9.878775</v>
      </c>
      <c r="E33" s="14" t="n">
        <f aca="false">-E32*Assumptions!$B$16</f>
        <v>-10.17243045</v>
      </c>
      <c r="F33" s="14" t="n">
        <f aca="false">-F32*Assumptions!$B$16</f>
        <v>-11.24053564725</v>
      </c>
      <c r="G33" s="14" t="n">
        <f aca="false">-G32*Assumptions!$B$16</f>
        <v>-12.274664926797</v>
      </c>
      <c r="H33" s="14" t="n">
        <f aca="false">-H32*Assumptions!$B$16</f>
        <v>-13.2566381209408</v>
      </c>
      <c r="I33" s="14" t="n">
        <f aca="false">-I32*Assumptions!$B$16</f>
        <v>-14.1846027894066</v>
      </c>
    </row>
    <row r="34" customFormat="false" ht="15" hidden="false" customHeight="false" outlineLevel="0" collapsed="false">
      <c r="A34" s="5" t="s">
        <v>73</v>
      </c>
      <c r="B34" s="14" t="n">
        <f aca="false">-B31</f>
        <v>7.4784</v>
      </c>
      <c r="C34" s="14" t="n">
        <f aca="false">-C31</f>
        <v>8.3927</v>
      </c>
      <c r="D34" s="14" t="n">
        <f aca="false">-D31</f>
        <v>9.3849</v>
      </c>
      <c r="E34" s="14" t="n">
        <f aca="false">-E31</f>
        <v>10.4923182</v>
      </c>
      <c r="F34" s="14" t="n">
        <f aca="false">-F31</f>
        <v>11.594011611</v>
      </c>
      <c r="G34" s="14" t="n">
        <f aca="false">-G31</f>
        <v>12.660660679212</v>
      </c>
      <c r="H34" s="14" t="n">
        <f aca="false">-H31</f>
        <v>13.673513533549</v>
      </c>
      <c r="I34" s="14" t="n">
        <f aca="false">-I31</f>
        <v>14.6306594808974</v>
      </c>
    </row>
    <row r="35" customFormat="false" ht="15" hidden="false" customHeight="false" outlineLevel="0" collapsed="false">
      <c r="A35" s="5" t="s">
        <v>74</v>
      </c>
      <c r="B35" s="14" t="n">
        <f aca="false">-B6*Assumptions!$B$14</f>
        <v>-6.5664</v>
      </c>
      <c r="C35" s="14" t="n">
        <f aca="false">-C6*Assumptions!$B$14</f>
        <v>-7.3692</v>
      </c>
      <c r="D35" s="14" t="n">
        <f aca="false">-D6*Assumptions!$B$14</f>
        <v>-8.2404</v>
      </c>
      <c r="E35" s="14" t="n">
        <f aca="false">-E6*Assumptions!$B$14</f>
        <v>-9.2127672</v>
      </c>
      <c r="F35" s="14" t="n">
        <f aca="false">-F6*Assumptions!$B$14</f>
        <v>-10.180107756</v>
      </c>
      <c r="G35" s="14" t="n">
        <f aca="false">-G6*Assumptions!$B$14</f>
        <v>-11.116677669552</v>
      </c>
      <c r="H35" s="14" t="n">
        <f aca="false">-H6*Assumptions!$B$14</f>
        <v>-12.0060118831162</v>
      </c>
      <c r="I35" s="14" t="n">
        <f aca="false">-I6*Assumptions!$B$14</f>
        <v>-12.8464327149343</v>
      </c>
    </row>
    <row r="36" customFormat="false" ht="15" hidden="false" customHeight="false" outlineLevel="0" collapsed="false">
      <c r="A36" s="5" t="s">
        <v>75</v>
      </c>
      <c r="B36" s="13" t="n">
        <v>0</v>
      </c>
      <c r="C36" s="14" t="n">
        <f aca="false">-(C6-B6)*Assumptions!$B$15</f>
        <v>-3.2335</v>
      </c>
      <c r="D36" s="14" t="n">
        <f aca="false">-(D6-C6)*Assumptions!$B$15</f>
        <v>-3.509</v>
      </c>
      <c r="E36" s="14" t="n">
        <f aca="false">-(E6-D6)*Assumptions!$B$15</f>
        <v>-3.916479</v>
      </c>
      <c r="F36" s="14" t="n">
        <f aca="false">-(F6-E6)*Assumptions!$B$15</f>
        <v>-3.896232795</v>
      </c>
      <c r="G36" s="14" t="n">
        <f aca="false">-(G6-F6)*Assumptions!$B$15</f>
        <v>-3.77229548514</v>
      </c>
      <c r="H36" s="14" t="n">
        <f aca="false">-(H6-G6)*Assumptions!$B$15</f>
        <v>-3.5820405824112</v>
      </c>
      <c r="I36" s="14" t="n">
        <f aca="false">-(I6-H6)*Assumptions!$B$15</f>
        <v>-3.38502835037859</v>
      </c>
    </row>
    <row r="37" customFormat="false" ht="15" hidden="false" customHeight="false" outlineLevel="0" collapsed="false">
      <c r="A37" s="12" t="s">
        <v>68</v>
      </c>
      <c r="B37" s="17" t="n">
        <f aca="false">B32+B33+B34+B35+B36</f>
        <v>18.4032</v>
      </c>
      <c r="C37" s="17" t="n">
        <f aca="false">C32+C33+C34+C35+C36</f>
        <v>21.195475</v>
      </c>
      <c r="D37" s="17" t="n">
        <f aca="false">D32+D33+D34+D35+D36</f>
        <v>27.271825</v>
      </c>
      <c r="E37" s="17" t="n">
        <f aca="false">E32+E33+E34+E35+E36</f>
        <v>27.88036335</v>
      </c>
      <c r="F37" s="17" t="n">
        <f aca="false">F32+F33+F34+F35+F36</f>
        <v>31.23927800175</v>
      </c>
      <c r="G37" s="17" t="n">
        <f aca="false">G32+G33+G34+G35+G36</f>
        <v>34.595682304911</v>
      </c>
      <c r="H37" s="17" t="n">
        <f aca="false">H32+H33+H34+H35+H36</f>
        <v>37.8553754308439</v>
      </c>
      <c r="I37" s="17" t="n">
        <f aca="false">I32+I33+I34+I35+I36</f>
        <v>40.9530067838044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3"/>
  </cols>
  <sheetData>
    <row r="1" customFormat="false" ht="15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4" customFormat="false" ht="15" hidden="false" customHeight="false" outlineLevel="0" collapsed="false">
      <c r="A4" s="10" t="s">
        <v>38</v>
      </c>
      <c r="B4" s="11" t="s">
        <v>42</v>
      </c>
      <c r="C4" s="11" t="s">
        <v>43</v>
      </c>
      <c r="D4" s="11" t="s">
        <v>44</v>
      </c>
      <c r="E4" s="11" t="s">
        <v>45</v>
      </c>
      <c r="F4" s="11" t="s">
        <v>46</v>
      </c>
    </row>
    <row r="6" customFormat="false" ht="15" hidden="false" customHeight="false" outlineLevel="0" collapsed="false">
      <c r="A6" s="5" t="s">
        <v>68</v>
      </c>
      <c r="B6" s="19" t="n">
        <f aca="false">Model!E37</f>
        <v>27.88036335</v>
      </c>
      <c r="C6" s="19" t="n">
        <f aca="false">Model!F37</f>
        <v>31.23927800175</v>
      </c>
      <c r="D6" s="19" t="n">
        <f aca="false">Model!G37</f>
        <v>34.595682304911</v>
      </c>
      <c r="E6" s="19" t="n">
        <f aca="false">Model!H37</f>
        <v>37.8553754308439</v>
      </c>
      <c r="F6" s="19" t="n">
        <f aca="false">Model!I37</f>
        <v>40.9530067838044</v>
      </c>
    </row>
    <row r="7" customFormat="false" ht="15" hidden="false" customHeight="false" outlineLevel="0" collapsed="false">
      <c r="A7" s="0" t="s">
        <v>78</v>
      </c>
      <c r="B7" s="20" t="n">
        <v>1</v>
      </c>
      <c r="C7" s="20" t="n">
        <v>2</v>
      </c>
      <c r="D7" s="20" t="n">
        <v>3</v>
      </c>
      <c r="E7" s="20" t="n">
        <v>4</v>
      </c>
      <c r="F7" s="20" t="n">
        <v>5</v>
      </c>
    </row>
    <row r="8" customFormat="false" ht="15" hidden="false" customHeight="false" outlineLevel="0" collapsed="false">
      <c r="A8" s="0" t="s">
        <v>79</v>
      </c>
      <c r="B8" s="21" t="n">
        <f aca="false">1/(1+Assumptions!$B$19)^B7</f>
        <v>0.910746812386157</v>
      </c>
      <c r="C8" s="21" t="n">
        <f aca="false">1/(1+Assumptions!$B$19)^C7</f>
        <v>0.829459756271545</v>
      </c>
      <c r="D8" s="21" t="n">
        <f aca="false">1/(1+Assumptions!$B$19)^D7</f>
        <v>0.755427829026908</v>
      </c>
      <c r="E8" s="21" t="n">
        <f aca="false">1/(1+Assumptions!$B$19)^E7</f>
        <v>0.688003487274051</v>
      </c>
      <c r="F8" s="21" t="n">
        <f aca="false">1/(1+Assumptions!$B$19)^F7</f>
        <v>0.626596982945402</v>
      </c>
    </row>
    <row r="9" customFormat="false" ht="15" hidden="false" customHeight="false" outlineLevel="0" collapsed="false">
      <c r="A9" s="12" t="s">
        <v>80</v>
      </c>
      <c r="B9" s="16" t="n">
        <f aca="false">B6*B8</f>
        <v>25.3919520491803</v>
      </c>
      <c r="C9" s="16" t="n">
        <f aca="false">C6*C8</f>
        <v>25.9117239174306</v>
      </c>
      <c r="D9" s="16" t="n">
        <f aca="false">D6*D8</f>
        <v>26.1345411773035</v>
      </c>
      <c r="E9" s="16" t="n">
        <f aca="false">E6*E8</f>
        <v>26.044630308489</v>
      </c>
      <c r="F9" s="16" t="n">
        <f aca="false">F6*F8</f>
        <v>25.6610304932744</v>
      </c>
    </row>
    <row r="12" customFormat="false" ht="15" hidden="false" customHeight="false" outlineLevel="0" collapsed="false">
      <c r="A12" s="3" t="s">
        <v>81</v>
      </c>
      <c r="B12" s="4"/>
    </row>
    <row r="13" customFormat="false" ht="15" hidden="false" customHeight="false" outlineLevel="0" collapsed="false">
      <c r="A13" s="5" t="s">
        <v>82</v>
      </c>
      <c r="B13" s="14" t="n">
        <f aca="false">SUM(B9:F9)</f>
        <v>129.143877945678</v>
      </c>
    </row>
    <row r="14" customFormat="false" ht="15" hidden="false" customHeight="false" outlineLevel="0" collapsed="false">
      <c r="A14" s="5" t="s">
        <v>83</v>
      </c>
      <c r="B14" s="14" t="n">
        <f aca="false">F6*(1+Assumptions!$B$20)/(Assumptions!$B$19-Assumptions!$B$20)</f>
        <v>575.025095252047</v>
      </c>
    </row>
    <row r="15" customFormat="false" ht="15" hidden="false" customHeight="false" outlineLevel="0" collapsed="false">
      <c r="A15" s="5" t="s">
        <v>84</v>
      </c>
      <c r="B15" s="14" t="n">
        <f aca="false">B14*F8</f>
        <v>360.308989802825</v>
      </c>
    </row>
    <row r="16" customFormat="false" ht="15" hidden="false" customHeight="false" outlineLevel="0" collapsed="false">
      <c r="A16" s="12" t="s">
        <v>85</v>
      </c>
      <c r="B16" s="16" t="n">
        <f aca="false">B13+B15</f>
        <v>489.452867748503</v>
      </c>
    </row>
    <row r="17" customFormat="false" ht="15" hidden="false" customHeight="false" outlineLevel="0" collapsed="false">
      <c r="A17" s="5" t="s">
        <v>86</v>
      </c>
      <c r="B17" s="19" t="n">
        <f aca="false">-Assumptions!$B$24</f>
        <v>-96.4</v>
      </c>
    </row>
    <row r="18" customFormat="false" ht="15" hidden="false" customHeight="false" outlineLevel="0" collapsed="false">
      <c r="A18" s="5" t="s">
        <v>87</v>
      </c>
      <c r="B18" s="19" t="n">
        <f aca="false">Assumptions!$B$25</f>
        <v>21.7</v>
      </c>
    </row>
    <row r="19" customFormat="false" ht="15" hidden="false" customHeight="false" outlineLevel="0" collapsed="false">
      <c r="A19" s="12" t="s">
        <v>88</v>
      </c>
      <c r="B19" s="16" t="n">
        <f aca="false">B16+B17+B18</f>
        <v>414.752867748503</v>
      </c>
    </row>
    <row r="20" customFormat="false" ht="15" hidden="false" customHeight="false" outlineLevel="0" collapsed="false">
      <c r="A20" s="5" t="s">
        <v>34</v>
      </c>
      <c r="B20" s="22" t="n">
        <f aca="false">Assumptions!$B$26</f>
        <v>42.8</v>
      </c>
    </row>
    <row r="21" customFormat="false" ht="15" hidden="false" customHeight="false" outlineLevel="0" collapsed="false">
      <c r="A21" s="12" t="s">
        <v>89</v>
      </c>
      <c r="B21" s="23" t="n">
        <f aca="false">B19/B20</f>
        <v>9.69048756421736</v>
      </c>
    </row>
    <row r="23" customFormat="false" ht="15" hidden="false" customHeight="false" outlineLevel="0" collapsed="false">
      <c r="A23" s="0" t="s">
        <v>90</v>
      </c>
      <c r="B23" s="24" t="n">
        <f aca="false">B16/Model!D26</f>
        <v>10.0092610991514</v>
      </c>
    </row>
    <row r="24" customFormat="false" ht="15" hidden="false" customHeight="false" outlineLevel="0" collapsed="false">
      <c r="A24" s="0" t="s">
        <v>91</v>
      </c>
      <c r="B24" s="24" t="n">
        <f aca="false">B16/Model!E26</f>
        <v>9.56298083758488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5"/>
  </cols>
  <sheetData>
    <row r="1" customFormat="false" ht="15" hidden="false" customHeight="false" outlineLevel="0" collapsed="false">
      <c r="A1" s="1" t="s">
        <v>92</v>
      </c>
    </row>
    <row r="2" customFormat="false" ht="15" hidden="false" customHeight="false" outlineLevel="0" collapsed="false">
      <c r="A2" s="2" t="s">
        <v>93</v>
      </c>
    </row>
    <row r="4" customFormat="false" ht="23.85" hidden="false" customHeight="false" outlineLevel="0" collapsed="false">
      <c r="A4" s="25" t="s">
        <v>94</v>
      </c>
      <c r="B4" s="25" t="s">
        <v>85</v>
      </c>
      <c r="C4" s="25" t="s">
        <v>95</v>
      </c>
      <c r="D4" s="25" t="s">
        <v>96</v>
      </c>
      <c r="E4" s="25" t="s">
        <v>97</v>
      </c>
      <c r="F4" s="25" t="s">
        <v>98</v>
      </c>
      <c r="G4" s="25" t="s">
        <v>99</v>
      </c>
    </row>
    <row r="5" customFormat="false" ht="15" hidden="false" customHeight="false" outlineLevel="0" collapsed="false">
      <c r="A5" s="5" t="s">
        <v>100</v>
      </c>
      <c r="B5" s="26" t="n">
        <v>1213</v>
      </c>
      <c r="C5" s="26" t="n">
        <v>612.4</v>
      </c>
      <c r="D5" s="26" t="n">
        <v>118.9</v>
      </c>
      <c r="E5" s="24" t="n">
        <f aca="false">B5/C5</f>
        <v>1.98073154800784</v>
      </c>
      <c r="F5" s="24" t="n">
        <f aca="false">B5/D5</f>
        <v>10.201850294365</v>
      </c>
      <c r="G5" s="15" t="n">
        <f aca="false">D5/C5</f>
        <v>0.194154147615937</v>
      </c>
    </row>
    <row r="6" customFormat="false" ht="15" hidden="false" customHeight="false" outlineLevel="0" collapsed="false">
      <c r="A6" s="5" t="s">
        <v>101</v>
      </c>
      <c r="B6" s="26" t="n">
        <v>1591</v>
      </c>
      <c r="C6" s="26" t="n">
        <v>796.1</v>
      </c>
      <c r="D6" s="26" t="n">
        <v>143.3</v>
      </c>
      <c r="E6" s="24" t="n">
        <f aca="false">B6/C6</f>
        <v>1.99849265167693</v>
      </c>
      <c r="F6" s="24" t="n">
        <f aca="false">B6/D6</f>
        <v>11.102581995813</v>
      </c>
      <c r="G6" s="15" t="n">
        <f aca="false">D6/C6</f>
        <v>0.180002512247205</v>
      </c>
    </row>
    <row r="7" customFormat="false" ht="15" hidden="false" customHeight="false" outlineLevel="0" collapsed="false">
      <c r="A7" s="5" t="s">
        <v>102</v>
      </c>
      <c r="B7" s="26" t="n">
        <v>547</v>
      </c>
      <c r="C7" s="26" t="n">
        <v>341.7</v>
      </c>
      <c r="D7" s="26" t="n">
        <v>61.5</v>
      </c>
      <c r="E7" s="24" t="n">
        <f aca="false">B7/C7</f>
        <v>1.60081943225051</v>
      </c>
      <c r="F7" s="24" t="n">
        <f aca="false">B7/D7</f>
        <v>8.89430894308943</v>
      </c>
      <c r="G7" s="15" t="n">
        <f aca="false">D7/C7</f>
        <v>0.179982440737489</v>
      </c>
    </row>
    <row r="8" customFormat="false" ht="15" hidden="false" customHeight="false" outlineLevel="0" collapsed="false">
      <c r="A8" s="5" t="s">
        <v>103</v>
      </c>
      <c r="B8" s="26" t="n">
        <v>937</v>
      </c>
      <c r="C8" s="26" t="n">
        <v>428.9</v>
      </c>
      <c r="D8" s="26" t="n">
        <v>90.1</v>
      </c>
      <c r="E8" s="24" t="n">
        <f aca="false">B8/C8</f>
        <v>2.18465842853812</v>
      </c>
      <c r="F8" s="24" t="n">
        <f aca="false">B8/D8</f>
        <v>10.3995560488346</v>
      </c>
      <c r="G8" s="15" t="n">
        <f aca="false">D8/C8</f>
        <v>0.210072277920261</v>
      </c>
    </row>
    <row r="9" customFormat="false" ht="15" hidden="false" customHeight="false" outlineLevel="0" collapsed="false">
      <c r="A9" s="5" t="s">
        <v>104</v>
      </c>
      <c r="B9" s="26" t="n">
        <v>385</v>
      </c>
      <c r="C9" s="26" t="n">
        <v>268.3</v>
      </c>
      <c r="D9" s="26" t="n">
        <v>47</v>
      </c>
      <c r="E9" s="24" t="n">
        <f aca="false">B9/C9</f>
        <v>1.43496086470369</v>
      </c>
      <c r="F9" s="24" t="n">
        <f aca="false">B9/D9</f>
        <v>8.19148936170213</v>
      </c>
      <c r="G9" s="15" t="n">
        <f aca="false">D9/C9</f>
        <v>0.175177040626165</v>
      </c>
    </row>
    <row r="10" customFormat="false" ht="15" hidden="false" customHeight="false" outlineLevel="0" collapsed="false">
      <c r="A10" s="5" t="s">
        <v>105</v>
      </c>
      <c r="B10" s="26" t="n">
        <v>683</v>
      </c>
      <c r="C10" s="26" t="n">
        <v>395.2</v>
      </c>
      <c r="D10" s="26" t="n">
        <v>71.1</v>
      </c>
      <c r="E10" s="24" t="n">
        <f aca="false">B10/C10</f>
        <v>1.72823886639676</v>
      </c>
      <c r="F10" s="24" t="n">
        <f aca="false">B10/D10</f>
        <v>9.60618846694796</v>
      </c>
      <c r="G10" s="15" t="n">
        <f aca="false">D10/C10</f>
        <v>0.179908906882591</v>
      </c>
    </row>
    <row r="12" customFormat="false" ht="15" hidden="false" customHeight="false" outlineLevel="0" collapsed="false">
      <c r="A12" s="27" t="s">
        <v>106</v>
      </c>
      <c r="E12" s="28" t="n">
        <f aca="false">AVERAGE(E5:E10)</f>
        <v>1.82131696526231</v>
      </c>
      <c r="F12" s="28" t="n">
        <f aca="false">AVERAGE(F5:F10)</f>
        <v>9.73266251845869</v>
      </c>
      <c r="G12" s="29" t="n">
        <f aca="false">AVERAGE(G5:G10)</f>
        <v>0.186549554338275</v>
      </c>
    </row>
    <row r="13" customFormat="false" ht="15" hidden="false" customHeight="false" outlineLevel="0" collapsed="false">
      <c r="A13" s="12" t="s">
        <v>107</v>
      </c>
      <c r="E13" s="30" t="n">
        <f aca="false">MEDIAN(E5:E10)</f>
        <v>1.8544852072023</v>
      </c>
      <c r="F13" s="30" t="n">
        <f aca="false">MEDIAN(F5:F10)</f>
        <v>9.90401938065649</v>
      </c>
      <c r="G13" s="31" t="n">
        <f aca="false">MEDIAN(G5:G10)</f>
        <v>0.179992476492347</v>
      </c>
    </row>
    <row r="14" customFormat="false" ht="15" hidden="false" customHeight="false" outlineLevel="0" collapsed="false">
      <c r="A14" s="12" t="s">
        <v>108</v>
      </c>
      <c r="E14" s="30" t="n">
        <f aca="false">MIN(E5:E10)</f>
        <v>1.43496086470369</v>
      </c>
      <c r="F14" s="30" t="n">
        <f aca="false">MIN(F5:F10)</f>
        <v>8.19148936170213</v>
      </c>
      <c r="G14" s="31" t="n">
        <f aca="false">MIN(G5:G10)</f>
        <v>0.175177040626165</v>
      </c>
    </row>
    <row r="15" customFormat="false" ht="15" hidden="false" customHeight="false" outlineLevel="0" collapsed="false">
      <c r="A15" s="12" t="s">
        <v>109</v>
      </c>
      <c r="E15" s="30" t="n">
        <f aca="false">MAX(E5:E10)</f>
        <v>2.18465842853812</v>
      </c>
      <c r="F15" s="30" t="n">
        <f aca="false">MAX(F5:F10)</f>
        <v>11.102581995813</v>
      </c>
      <c r="G15" s="31" t="n">
        <f aca="false">MAX(G5:G10)</f>
        <v>0.210072277920261</v>
      </c>
    </row>
    <row r="17" customFormat="false" ht="15" hidden="false" customHeight="false" outlineLevel="0" collapsed="false">
      <c r="A17" s="3" t="s">
        <v>110</v>
      </c>
      <c r="B17" s="4"/>
      <c r="C17" s="4"/>
      <c r="D17" s="4"/>
    </row>
    <row r="18" customFormat="false" ht="15" hidden="false" customHeight="false" outlineLevel="0" collapsed="false">
      <c r="A18" s="0" t="s">
        <v>111</v>
      </c>
      <c r="B18" s="19" t="n">
        <f aca="false">Model!D26</f>
        <v>48.9</v>
      </c>
    </row>
    <row r="19" customFormat="false" ht="15" hidden="false" customHeight="false" outlineLevel="0" collapsed="false">
      <c r="A19" s="0" t="s">
        <v>112</v>
      </c>
      <c r="B19" s="24" t="n">
        <f aca="false">F13</f>
        <v>9.90401938065649</v>
      </c>
    </row>
    <row r="20" customFormat="false" ht="15" hidden="false" customHeight="false" outlineLevel="0" collapsed="false">
      <c r="A20" s="12" t="s">
        <v>113</v>
      </c>
      <c r="B20" s="17" t="n">
        <f aca="false">B18*B19</f>
        <v>484.306547714102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6"/>
  </cols>
  <sheetData>
    <row r="1" customFormat="false" ht="15" hidden="false" customHeight="false" outlineLevel="0" collapsed="false">
      <c r="A1" s="1" t="s">
        <v>114</v>
      </c>
    </row>
    <row r="2" customFormat="false" ht="15" hidden="false" customHeight="false" outlineLevel="0" collapsed="false">
      <c r="A2" s="2" t="s">
        <v>115</v>
      </c>
    </row>
    <row r="4" customFormat="false" ht="15" hidden="false" customHeight="false" outlineLevel="0" collapsed="false">
      <c r="A4" s="10" t="s">
        <v>116</v>
      </c>
      <c r="B4" s="10" t="s">
        <v>117</v>
      </c>
      <c r="C4" s="10" t="s">
        <v>118</v>
      </c>
      <c r="D4" s="10" t="s">
        <v>119</v>
      </c>
      <c r="E4" s="10" t="s">
        <v>120</v>
      </c>
    </row>
    <row r="5" customFormat="false" ht="15" hidden="false" customHeight="false" outlineLevel="0" collapsed="false">
      <c r="A5" s="12" t="s">
        <v>121</v>
      </c>
      <c r="B5" s="5" t="s">
        <v>122</v>
      </c>
      <c r="C5" s="19" t="n">
        <f aca="false">Model!D6</f>
        <v>228.9</v>
      </c>
      <c r="D5" s="2" t="s">
        <v>123</v>
      </c>
      <c r="E5" s="2" t="s">
        <v>124</v>
      </c>
    </row>
    <row r="6" customFormat="false" ht="15" hidden="false" customHeight="false" outlineLevel="0" collapsed="false">
      <c r="A6" s="12" t="s">
        <v>125</v>
      </c>
      <c r="B6" s="5" t="s">
        <v>126</v>
      </c>
      <c r="C6" s="32" t="n">
        <f aca="false">Model!D7</f>
        <v>0.118221787982413</v>
      </c>
      <c r="D6" s="2" t="s">
        <v>127</v>
      </c>
      <c r="E6" s="2" t="s">
        <v>124</v>
      </c>
    </row>
    <row r="7" customFormat="false" ht="15" hidden="false" customHeight="false" outlineLevel="0" collapsed="false">
      <c r="A7" s="12" t="s">
        <v>128</v>
      </c>
      <c r="B7" s="5" t="s">
        <v>129</v>
      </c>
      <c r="C7" s="32" t="n">
        <f aca="false">Model!D11</f>
        <v>0.381826124945391</v>
      </c>
      <c r="D7" s="2" t="s">
        <v>130</v>
      </c>
      <c r="E7" s="2" t="s">
        <v>124</v>
      </c>
    </row>
    <row r="8" customFormat="false" ht="15" hidden="false" customHeight="false" outlineLevel="0" collapsed="false">
      <c r="A8" s="12" t="s">
        <v>131</v>
      </c>
      <c r="B8" s="5" t="s">
        <v>132</v>
      </c>
      <c r="C8" s="19" t="n">
        <f aca="false">Model!D16</f>
        <v>41.2</v>
      </c>
      <c r="D8" s="2" t="s">
        <v>133</v>
      </c>
      <c r="E8" s="2" t="s">
        <v>124</v>
      </c>
    </row>
    <row r="9" customFormat="false" ht="15" hidden="false" customHeight="false" outlineLevel="0" collapsed="false">
      <c r="A9" s="12" t="s">
        <v>134</v>
      </c>
      <c r="B9" s="5" t="s">
        <v>111</v>
      </c>
      <c r="C9" s="19" t="n">
        <f aca="false">Model!D26</f>
        <v>48.9</v>
      </c>
      <c r="D9" s="2" t="s">
        <v>135</v>
      </c>
      <c r="E9" s="2" t="s">
        <v>136</v>
      </c>
    </row>
    <row r="10" customFormat="false" ht="15" hidden="false" customHeight="false" outlineLevel="0" collapsed="false">
      <c r="A10" s="12" t="s">
        <v>137</v>
      </c>
      <c r="B10" s="5" t="s">
        <v>138</v>
      </c>
      <c r="C10" s="32" t="n">
        <f aca="false">Model!D27</f>
        <v>0.213630406290957</v>
      </c>
      <c r="D10" s="2" t="s">
        <v>139</v>
      </c>
      <c r="E10" s="2" t="s">
        <v>140</v>
      </c>
    </row>
    <row r="11" customFormat="false" ht="15" hidden="false" customHeight="false" outlineLevel="0" collapsed="false">
      <c r="A11" s="12" t="s">
        <v>141</v>
      </c>
      <c r="B11" s="5" t="s">
        <v>142</v>
      </c>
      <c r="C11" s="19" t="n">
        <f aca="false">Model!E6</f>
        <v>255.9102</v>
      </c>
      <c r="D11" s="2" t="s">
        <v>143</v>
      </c>
      <c r="E11" s="2" t="s">
        <v>17</v>
      </c>
    </row>
    <row r="12" customFormat="false" ht="15" hidden="false" customHeight="false" outlineLevel="0" collapsed="false">
      <c r="A12" s="12" t="s">
        <v>144</v>
      </c>
      <c r="B12" s="5" t="s">
        <v>145</v>
      </c>
      <c r="C12" s="19" t="n">
        <f aca="false">Model!E26</f>
        <v>51.18204</v>
      </c>
      <c r="D12" s="2" t="s">
        <v>146</v>
      </c>
      <c r="E12" s="2" t="s">
        <v>17</v>
      </c>
    </row>
    <row r="13" customFormat="false" ht="15" hidden="false" customHeight="false" outlineLevel="0" collapsed="false">
      <c r="A13" s="12" t="s">
        <v>147</v>
      </c>
      <c r="B13" s="5" t="s">
        <v>148</v>
      </c>
      <c r="C13" s="19" t="n">
        <f aca="false">Model!I6</f>
        <v>356.845353192619</v>
      </c>
      <c r="D13" s="2" t="s">
        <v>149</v>
      </c>
      <c r="E13" s="2" t="s">
        <v>17</v>
      </c>
    </row>
    <row r="14" customFormat="false" ht="15" hidden="false" customHeight="false" outlineLevel="0" collapsed="false">
      <c r="A14" s="12" t="s">
        <v>150</v>
      </c>
      <c r="B14" s="5" t="s">
        <v>151</v>
      </c>
      <c r="C14" s="19" t="n">
        <f aca="false">Model!I26</f>
        <v>71.3690706385238</v>
      </c>
      <c r="D14" s="2" t="s">
        <v>152</v>
      </c>
      <c r="E14" s="2" t="s">
        <v>17</v>
      </c>
    </row>
    <row r="15" customFormat="false" ht="15" hidden="false" customHeight="false" outlineLevel="0" collapsed="false">
      <c r="A15" s="12" t="s">
        <v>153</v>
      </c>
      <c r="B15" s="5" t="s">
        <v>154</v>
      </c>
      <c r="C15" s="32" t="n">
        <f aca="false">(Model!I6/Model!D6)^(1/5)-1</f>
        <v>0.0928658382575962</v>
      </c>
      <c r="D15" s="2" t="s">
        <v>155</v>
      </c>
      <c r="E15" s="2" t="s">
        <v>156</v>
      </c>
    </row>
    <row r="16" customFormat="false" ht="15" hidden="false" customHeight="false" outlineLevel="0" collapsed="false">
      <c r="A16" s="12" t="s">
        <v>157</v>
      </c>
      <c r="B16" s="5" t="s">
        <v>158</v>
      </c>
      <c r="C16" s="19" t="n">
        <f aca="false">Model!D24</f>
        <v>7.7</v>
      </c>
      <c r="D16" s="2" t="s">
        <v>159</v>
      </c>
      <c r="E16" s="2" t="s">
        <v>160</v>
      </c>
    </row>
    <row r="17" customFormat="false" ht="15" hidden="false" customHeight="false" outlineLevel="0" collapsed="false">
      <c r="A17" s="12" t="s">
        <v>161</v>
      </c>
      <c r="B17" s="5" t="s">
        <v>162</v>
      </c>
      <c r="C17" s="19" t="n">
        <f aca="false">DCF!B16</f>
        <v>489.452867748503</v>
      </c>
      <c r="D17" s="2" t="s">
        <v>163</v>
      </c>
      <c r="E17" s="2" t="s">
        <v>164</v>
      </c>
    </row>
    <row r="18" customFormat="false" ht="15" hidden="false" customHeight="false" outlineLevel="0" collapsed="false">
      <c r="A18" s="12" t="s">
        <v>165</v>
      </c>
      <c r="B18" s="5" t="s">
        <v>166</v>
      </c>
      <c r="C18" s="19" t="n">
        <f aca="false">DCF!B19</f>
        <v>414.752867748503</v>
      </c>
      <c r="D18" s="2" t="s">
        <v>167</v>
      </c>
      <c r="E18" s="2" t="s">
        <v>168</v>
      </c>
    </row>
    <row r="19" customFormat="false" ht="15" hidden="false" customHeight="false" outlineLevel="0" collapsed="false">
      <c r="A19" s="12" t="s">
        <v>169</v>
      </c>
      <c r="B19" s="5" t="s">
        <v>170</v>
      </c>
      <c r="C19" s="33" t="n">
        <f aca="false">DCF!B21</f>
        <v>9.69048756421736</v>
      </c>
      <c r="D19" s="2" t="s">
        <v>171</v>
      </c>
      <c r="E19" s="2" t="s">
        <v>168</v>
      </c>
    </row>
    <row r="20" customFormat="false" ht="15" hidden="false" customHeight="false" outlineLevel="0" collapsed="false">
      <c r="A20" s="12" t="s">
        <v>172</v>
      </c>
      <c r="B20" s="5" t="s">
        <v>173</v>
      </c>
      <c r="C20" s="34" t="n">
        <f aca="false">DCF!B23</f>
        <v>10.0092610991514</v>
      </c>
      <c r="D20" s="2" t="s">
        <v>174</v>
      </c>
      <c r="E20" s="2" t="s">
        <v>168</v>
      </c>
    </row>
    <row r="21" customFormat="false" ht="15" hidden="false" customHeight="false" outlineLevel="0" collapsed="false">
      <c r="A21" s="12" t="s">
        <v>175</v>
      </c>
      <c r="B21" s="5" t="s">
        <v>23</v>
      </c>
      <c r="C21" s="32" t="n">
        <f aca="false">Assumptions!B19</f>
        <v>0.098</v>
      </c>
      <c r="D21" s="2" t="s">
        <v>176</v>
      </c>
      <c r="E21" s="2" t="s">
        <v>177</v>
      </c>
    </row>
    <row r="22" customFormat="false" ht="15" hidden="false" customHeight="false" outlineLevel="0" collapsed="false">
      <c r="A22" s="12" t="s">
        <v>178</v>
      </c>
      <c r="B22" s="5" t="s">
        <v>25</v>
      </c>
      <c r="C22" s="32" t="n">
        <f aca="false">Assumptions!B20</f>
        <v>0.025</v>
      </c>
      <c r="D22" s="2" t="s">
        <v>179</v>
      </c>
      <c r="E22" s="2" t="s">
        <v>177</v>
      </c>
    </row>
    <row r="23" customFormat="false" ht="15" hidden="false" customHeight="false" outlineLevel="0" collapsed="false">
      <c r="A23" s="12" t="s">
        <v>180</v>
      </c>
      <c r="B23" s="5" t="s">
        <v>181</v>
      </c>
      <c r="C23" s="34" t="n">
        <f aca="false">Comps!F13</f>
        <v>9.90401938065649</v>
      </c>
      <c r="D23" s="2" t="s">
        <v>182</v>
      </c>
      <c r="E23" s="2" t="s">
        <v>183</v>
      </c>
    </row>
    <row r="24" customFormat="false" ht="15" hidden="false" customHeight="false" outlineLevel="0" collapsed="false">
      <c r="A24" s="12" t="s">
        <v>184</v>
      </c>
      <c r="B24" s="5" t="s">
        <v>185</v>
      </c>
      <c r="C24" s="34" t="n">
        <f aca="false">Comps!F12</f>
        <v>9.73266251845869</v>
      </c>
      <c r="D24" s="2" t="s">
        <v>186</v>
      </c>
      <c r="E24" s="2" t="s">
        <v>183</v>
      </c>
    </row>
    <row r="25" customFormat="false" ht="15" hidden="false" customHeight="false" outlineLevel="0" collapsed="false">
      <c r="A25" s="12" t="s">
        <v>187</v>
      </c>
      <c r="B25" s="5" t="s">
        <v>188</v>
      </c>
      <c r="C25" s="19" t="n">
        <f aca="false">Comps!B20</f>
        <v>484.306547714102</v>
      </c>
      <c r="D25" s="2" t="s">
        <v>189</v>
      </c>
      <c r="E25" s="2" t="s">
        <v>183</v>
      </c>
    </row>
    <row r="26" customFormat="false" ht="15" hidden="false" customHeight="false" outlineLevel="0" collapsed="false">
      <c r="A26" s="12" t="s">
        <v>190</v>
      </c>
      <c r="B26" s="5" t="s">
        <v>31</v>
      </c>
      <c r="C26" s="19" t="n">
        <f aca="false">Assumptions!B24</f>
        <v>96.4</v>
      </c>
      <c r="D26" s="2" t="s">
        <v>191</v>
      </c>
      <c r="E26" s="2" t="s">
        <v>192</v>
      </c>
    </row>
    <row r="27" customFormat="false" ht="15" hidden="false" customHeight="false" outlineLevel="0" collapsed="false">
      <c r="A27" s="12" t="s">
        <v>193</v>
      </c>
      <c r="B27" s="5" t="s">
        <v>33</v>
      </c>
      <c r="C27" s="19" t="n">
        <f aca="false">Assumptions!B25</f>
        <v>21.7</v>
      </c>
      <c r="D27" s="2" t="s">
        <v>194</v>
      </c>
      <c r="E27" s="2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2026-08-10T05:52:05Z</dcterms:created>
  <dc:creator>openpyxl</dc:creator>
  <dc:description/>
  <dc:language>en-US</dc:language>
  <cp:lastModifiedBy/>
  <dcterms:modified xsi:type="dcterms:W3CDTF">2026-08-10T05:52:05Z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