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</sheets>
  <definedNames/>
  <calcPr calcId="124519" fullCalcOnLoad="1" iterate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growth</t>
        </is>
      </c>
      <c r="B3" t="n">
        <v>0.08</v>
      </c>
    </row>
    <row r="4">
      <c r="A4" t="inlineStr">
        <is>
          <t>Gross margin</t>
        </is>
      </c>
      <c r="B4" t="n">
        <v>0.38</v>
      </c>
    </row>
    <row r="5">
      <c r="A5" t="inlineStr">
        <is>
          <t>Tax rate</t>
        </is>
      </c>
      <c r="B5" t="n">
        <v>0.25</v>
      </c>
    </row>
    <row r="6">
      <c r="A6" t="inlineStr">
        <is>
          <t>Sales to capital</t>
        </is>
      </c>
      <c r="B6" t="n">
        <v>2.4</v>
      </c>
    </row>
    <row r="7">
      <c r="A7" t="inlineStr">
        <is>
          <t>Operating cost ratio</t>
        </is>
      </c>
      <c r="B7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model</t>
        </is>
      </c>
    </row>
    <row r="4">
      <c r="B4" t="inlineStr">
        <is>
          <t>FY2023A</t>
        </is>
      </c>
      <c r="C4" t="inlineStr">
        <is>
          <t>FY2024A</t>
        </is>
      </c>
      <c r="D4" t="inlineStr">
        <is>
          <t>FY2025A</t>
        </is>
      </c>
      <c r="E4" t="inlineStr">
        <is>
          <t>FY2026E</t>
        </is>
      </c>
      <c r="F4" t="inlineStr">
        <is>
          <t>FY2027E</t>
        </is>
      </c>
      <c r="G4" t="inlineStr">
        <is>
          <t>FY2028E</t>
        </is>
      </c>
      <c r="H4" t="inlineStr">
        <is>
          <t>FY2029E</t>
        </is>
      </c>
      <c r="I4" t="inlineStr">
        <is>
          <t>FY2030E</t>
        </is>
      </c>
    </row>
    <row r="5">
      <c r="A5" t="inlineStr">
        <is>
          <t>Units sold</t>
        </is>
      </c>
      <c r="B5" t="n">
        <v>4.1</v>
      </c>
      <c r="C5" t="n">
        <v>4.48</v>
      </c>
      <c r="D5" t="n">
        <v>4.92</v>
      </c>
      <c r="E5">
        <f>D5*(1+Assumptions!$B$3)</f>
        <v/>
      </c>
      <c r="F5">
        <f>E5*(1+Assumptions!$B$3)</f>
        <v/>
      </c>
      <c r="G5">
        <f>F5*(1+Assumptions!$B$3)</f>
        <v/>
      </c>
      <c r="H5">
        <f>G5*(1+Assumptions!$B$3)</f>
        <v/>
      </c>
      <c r="I5">
        <f>H5*(1+Assumptions!$B$3)</f>
        <v/>
      </c>
    </row>
    <row r="6">
      <c r="A6" t="inlineStr">
        <is>
          <t>Revenue</t>
        </is>
      </c>
      <c r="B6" t="n">
        <v>182.4</v>
      </c>
      <c r="C6" t="n">
        <v>204.7</v>
      </c>
      <c r="D6" t="n">
        <v>228.9</v>
      </c>
      <c r="E6">
        <f>D6*(1+Assumptions!$B$3)</f>
        <v/>
      </c>
      <c r="F6">
        <f>E6*(1+Assumptions!$B$3)</f>
        <v/>
      </c>
      <c r="G6">
        <f>F6*(1+Assumptions!$B$3)</f>
        <v/>
      </c>
      <c r="H6">
        <f>G6*(1+Assumptions!$B$3)</f>
        <v/>
      </c>
      <c r="I6">
        <f>H6*(1+Assumptions!$B$3)</f>
        <v/>
      </c>
    </row>
    <row r="7">
      <c r="A7" t="inlineStr">
        <is>
          <t>Revenue growth</t>
        </is>
      </c>
      <c r="C7">
        <f>C6/B6-1</f>
        <v/>
      </c>
      <c r="D7">
        <f>D6/C6-1</f>
        <v/>
      </c>
      <c r="E7">
        <f>E6/C6-1</f>
        <v/>
      </c>
      <c r="F7">
        <f>F6/E6-1</f>
        <v/>
      </c>
      <c r="G7">
        <f>G6/F6-1</f>
        <v/>
      </c>
      <c r="H7">
        <f>H6/G6-1</f>
        <v/>
      </c>
      <c r="I7">
        <f>I6/H6-1</f>
        <v/>
      </c>
    </row>
    <row r="8">
      <c r="A8" t="inlineStr">
        <is>
          <t>Cost of goods sold</t>
        </is>
      </c>
      <c r="B8" t="n">
        <v>-115.9</v>
      </c>
      <c r="C8" t="n">
        <v>-128.4</v>
      </c>
      <c r="D8" t="n">
        <v>-141.5</v>
      </c>
      <c r="E8">
        <f>-E6*(1-Assumptions!$B$4)</f>
        <v/>
      </c>
      <c r="F8">
        <f>-F6*(1-Assumptions!$B$4)</f>
        <v/>
      </c>
      <c r="G8">
        <f>-G6*(1-Assumptions!$B$4)</f>
        <v/>
      </c>
      <c r="H8">
        <f>-H6*(1-Assumptions!$B$4)</f>
        <v/>
      </c>
      <c r="I8">
        <f>-I6*(1-Assumptions!$B$4)</f>
        <v/>
      </c>
    </row>
    <row r="9">
      <c r="A9" t="inlineStr">
        <is>
          <t>Gross profit</t>
        </is>
      </c>
      <c r="E9">
        <f>E6*Assumptions!$B$4+0</f>
        <v/>
      </c>
      <c r="F9">
        <f>F6*Assumptions!$B$4</f>
        <v/>
      </c>
      <c r="G9">
        <f>G6*Assumptions!$B$4</f>
        <v/>
      </c>
      <c r="H9">
        <f>H6*Assumptions!$B$4</f>
        <v/>
      </c>
      <c r="I9">
        <f>I6*Assumptions!$B$4</f>
        <v/>
      </c>
    </row>
    <row r="11">
      <c r="A11" t="inlineStr">
        <is>
          <t>Operating costs</t>
        </is>
      </c>
      <c r="E11">
        <f>-E6*Assumptions!$B$7</f>
        <v/>
      </c>
      <c r="F11" t="n">
        <v>-140</v>
      </c>
      <c r="G11">
        <f>-G6*Assumptions!$B$7</f>
        <v/>
      </c>
      <c r="H11">
        <f>-H6*Assumptions!$B$7</f>
        <v/>
      </c>
      <c r="I11">
        <f>-I6*Assumptions!$B$7</f>
        <v/>
      </c>
    </row>
    <row r="12">
      <c r="A12" t="inlineStr">
        <is>
          <t>Sales to capital</t>
        </is>
      </c>
      <c r="E12">
        <f>Assumptions!B6</f>
        <v/>
      </c>
      <c r="F12">
        <f>F11/F6</f>
        <v/>
      </c>
      <c r="G12">
        <f>G11/G6</f>
        <v/>
      </c>
      <c r="H12">
        <f>H11/H6</f>
        <v/>
      </c>
      <c r="I12">
        <f>I11/I6</f>
        <v/>
      </c>
    </row>
    <row r="13">
      <c r="A13" t="inlineStr">
        <is>
          <t>Direct cost</t>
        </is>
      </c>
      <c r="D13" t="n">
        <v>-110</v>
      </c>
      <c r="E13" t="n">
        <v>-112</v>
      </c>
    </row>
    <row r="14">
      <c r="A14" t="inlineStr">
        <is>
          <t>Sundry inputs</t>
        </is>
      </c>
      <c r="E14">
        <f>Assumptions!B3</f>
        <v/>
      </c>
      <c r="F14">
        <f>Assumptions!B4*2</f>
        <v/>
      </c>
      <c r="G14">
        <f>SUM(E6:F6)</f>
        <v/>
      </c>
      <c r="H14">
        <f>Assumptions!B5</f>
        <v/>
      </c>
    </row>
    <row r="15">
      <c r="A15" t="inlineStr">
        <is>
          <t>Other cost</t>
        </is>
      </c>
      <c r="D15" t="n">
        <v>-3.2</v>
      </c>
      <c r="E15" t="n">
        <v>-3.4</v>
      </c>
    </row>
    <row r="16">
      <c r="A16" t="inlineStr">
        <is>
          <t>Total costs</t>
        </is>
      </c>
      <c r="D16">
        <f>SUM(D13:D14)</f>
        <v/>
      </c>
    </row>
    <row r="17">
      <c r="A17" t="inlineStr">
        <is>
          <t>Total costs, correct</t>
        </is>
      </c>
      <c r="E17">
        <f>SUM(E13:E16)</f>
        <v/>
      </c>
    </row>
    <row r="20">
      <c r="A20" t="inlineStr">
        <is>
          <t>Depreciation</t>
        </is>
      </c>
      <c r="E20">
        <f>-E6*0.0413</f>
        <v/>
      </c>
      <c r="F20">
        <f>-F6*Assumptions!$B$5</f>
        <v/>
      </c>
      <c r="G20">
        <f>-G6*Assumptions!$B$5</f>
        <v/>
      </c>
      <c r="H20">
        <f>-H6*Assumptions!$B$5</f>
        <v/>
      </c>
      <c r="I20">
        <f>-I6*Assumptions!$B$5</f>
        <v/>
      </c>
    </row>
    <row r="23">
      <c r="A23" t="inlineStr">
        <is>
          <t>Capital expenditure</t>
        </is>
      </c>
      <c r="E23">
        <f>-OFFSET(E6,0,0)*Assumptions!$B$6</f>
        <v/>
      </c>
      <c r="F23">
        <f>-F6*Assumptions!$B$6</f>
        <v/>
      </c>
      <c r="G23">
        <f>-G6*Assumptions!$B$6</f>
        <v/>
      </c>
      <c r="H23">
        <f>-H6*Assumptions!$B$6</f>
        <v/>
      </c>
      <c r="I23">
        <f>-I6*Assumptions!$B$6</f>
        <v/>
      </c>
    </row>
    <row r="26">
      <c r="A26" t="inlineStr">
        <is>
          <t>Working capital</t>
        </is>
      </c>
      <c r="E26">
        <f>E6*Assumptions!B3</f>
        <v/>
      </c>
      <c r="F26">
        <f>F6*Assumptions!$B$3</f>
        <v/>
      </c>
      <c r="G26">
        <f>G6*Assumptions!$B$3</f>
        <v/>
      </c>
      <c r="H26">
        <f>H6*Assumptions!$B$3</f>
        <v/>
      </c>
      <c r="I26">
        <f>I6*Assumptions!$B$3</f>
        <v/>
      </c>
    </row>
    <row r="30">
      <c r="A30" t="inlineStr">
        <is>
          <t>Legacy line</t>
        </is>
      </c>
      <c r="C30" t="e">
        <v>#REF!</v>
      </c>
    </row>
    <row r="33">
      <c r="A33" t="inlineStr">
        <is>
          <t>Prior year comparison</t>
        </is>
      </c>
      <c r="E33">
        <f>[1]Model!$D$6*1.5</f>
        <v/>
      </c>
    </row>
    <row r="36">
      <c r="A36" t="inlineStr">
        <is>
          <t>Interest</t>
        </is>
      </c>
      <c r="E36">
        <f>F36*0.05</f>
        <v/>
      </c>
      <c r="F36">
        <f>E36+1</f>
        <v/>
      </c>
    </row>
    <row r="39">
      <c r="A39" t="inlineStr">
        <is>
          <t>Per-share</t>
        </is>
      </c>
      <c r="E39">
        <f>E6/100*12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2026-08-10T07:32:50Z</dcterms:created>
  <dcterms:modified xmlns:dcterms="http://purl.org/dc/terms/" xmlns:xsi="http://www.w3.org/2001/XMLSchema-instance" xsi:type="dcterms:W3CDTF">2026-08-10T07:32:50Z</dcterms:modified>
</cp:coreProperties>
</file>