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C:\Users\7249432\Downloads\"/>
    </mc:Choice>
  </mc:AlternateContent>
  <xr:revisionPtr revIDLastSave="0" documentId="13_ncr:1_{2FD96DA6-5C06-4642-BE1F-BC25E524A795}" xr6:coauthVersionLast="41" xr6:coauthVersionMax="41" xr10:uidLastSave="{00000000-0000-0000-0000-000000000000}"/>
  <workbookProtection workbookAlgorithmName="SHA-512" workbookHashValue="30Ir3B0apCdFfsZtHyvZXk4gZk+OSsaoZOtCBSialOazTcIYr6U2O3YkNq004y4NKnHDzrlCe5qjaIM+f4XFAA==" workbookSaltValue="q8Y4l4dBqybHywYpHQYs0A==" workbookSpinCount="100000" lockStructure="1"/>
  <bookViews>
    <workbookView xWindow="-103" yWindow="-103" windowWidth="23657" windowHeight="15240" xr2:uid="{00000000-000D-0000-FFFF-FFFF00000000}"/>
  </bookViews>
  <sheets>
    <sheet name="ISA" sheetId="1" r:id="rId1"/>
    <sheet name="GUIDANCE v2.5" sheetId="2" r:id="rId2"/>
  </sheets>
  <definedNames>
    <definedName name="A.">IF('GUIDANCE v2.5'!$A$6 &gt; 1, OFFSET(ISA!$A$3,0,0,'GUIDANCE v2.5'!$A$6,1), OFFSET(ISA!$A$3,0,0,3,1))</definedName>
    <definedName name="AA.">IF('GUIDANCE v2.5'!$AA$6 &gt; 1, OFFSET(ISA!$AA$3,0,0,'GUIDANCE v2.5'!$AA$6,1), OFFSET(ISA!$AA$3,0,0,3,1))</definedName>
    <definedName name="AB.">IF('GUIDANCE v2.5'!$AB$6 &gt; 1, OFFSET(ISA!$AB$3,0,0,'GUIDANCE v2.5'!$AB$6,1), OFFSET(ISA!$AB$3,0,0,3,1))</definedName>
    <definedName name="B.">IF('GUIDANCE v2.5'!$B$6 &gt; 1, OFFSET(ISA!$B$3,0,0,'GUIDANCE v2.5'!$B$6,1), OFFSET(ISA!$B$3,0,0,3,1))</definedName>
    <definedName name="C.">IF('GUIDANCE v2.5'!$C$6 &gt; 1, OFFSET(ISA!$C$3,0,0,'GUIDANCE v2.5'!$C$6,1), OFFSET(ISA!$C$3,0,0,3,1))</definedName>
    <definedName name="D.">IF('GUIDANCE v2.5'!$D$6 &gt; 1, OFFSET(ISA!$D$3,0,0,'GUIDANCE v2.5'!$D$6,1), OFFSET(ISA!$D$3,0,0,3,1))</definedName>
    <definedName name="E.">IF('GUIDANCE v2.5'!$E$6 &gt; 1, OFFSET(ISA!$E$3,0,0,'GUIDANCE v2.5'!$E$6,1), OFFSET(ISA!$E$3,0,0,3,1))</definedName>
    <definedName name="F.">IF('GUIDANCE v2.5'!$F$6 &gt; 1, OFFSET(ISA!$F$3,0,0,'GUIDANCE v2.5'!$F$6,1), OFFSET(ISA!$F$3,0,0,3,1))</definedName>
    <definedName name="G.">IF('GUIDANCE v2.5'!$G$6 &gt; 1, OFFSET(ISA!$G$3,0,0,'GUIDANCE v2.5'!$G$6,1), OFFSET(ISA!$G$3,0,0,3,1))</definedName>
    <definedName name="H.">IF('GUIDANCE v2.5'!$H$6 &gt; 1, OFFSET(ISA!$H$3,0,0,'GUIDANCE v2.5'!$H$6,1), OFFSET(ISA!$H$3,0,0,3,1))</definedName>
    <definedName name="I.">IF('GUIDANCE v2.5'!$I$6 &gt; 1, OFFSET(ISA!$I$3,0,0,'GUIDANCE v2.5'!$I$6,1), OFFSET(ISA!$I$3,0,0,3,1))</definedName>
    <definedName name="J.">IF('GUIDANCE v2.5'!$J$6 &gt; 1, OFFSET(ISA!$J$3,0,0,'GUIDANCE v2.5'!$J$6,1), OFFSET(ISA!$J$3,0,0,3,1))</definedName>
    <definedName name="K.">IF('GUIDANCE v2.5'!$K$6 &gt; 1, OFFSET(ISA!$K$3,0,0,'GUIDANCE v2.5'!$K$6,1), OFFSET(ISA!$K$3,0,0,3,1))</definedName>
    <definedName name="L.">IF('GUIDANCE v2.5'!$L$6 &gt; 1, OFFSET(ISA!$L$3,0,0,'GUIDANCE v2.5'!$L$6,1), OFFSET(ISA!$L$3,0,0,3,1))</definedName>
    <definedName name="M.">IF('GUIDANCE v2.5'!$M$6 &gt; 1, OFFSET(ISA!$M$3,0,0,'GUIDANCE v2.5'!$M$6,1), OFFSET(ISA!$M$3,0,0,3,1))</definedName>
    <definedName name="N.">IF('GUIDANCE v2.5'!$N$6 &gt; 1, OFFSET(ISA!$N$3,0,0,'GUIDANCE v2.5'!$N$6,1), OFFSET(ISA!$N$3,0,0,3,1))</definedName>
    <definedName name="O.">IF('GUIDANCE v2.5'!$O$6 &gt; 1, OFFSET(ISA!$O$3,0,0,'GUIDANCE v2.5'!$O$6,1), OFFSET(ISA!$O$3,0,0,3,1))</definedName>
    <definedName name="P.">IF('GUIDANCE v2.5'!$P$6 &gt; 1, OFFSET(ISA!$P$3,0,0,'GUIDANCE v2.5'!$P$6,1), OFFSET(ISA!$P$3,0,0,3,1))</definedName>
    <definedName name="Q.">IF('GUIDANCE v2.5'!$Q$6 &gt; 1, OFFSET(ISA!$Q$3,0,0,'GUIDANCE v2.5'!$Q$6,1), OFFSET(ISA!$Q$3,0,0,3,1))</definedName>
    <definedName name="R.">IF('GUIDANCE v2.5'!$R$6 &gt; 1, OFFSET(ISA!$R$3,0,0,'GUIDANCE v2.5'!$R$6,1), OFFSET(ISA!$R$3,0,0,3,1))</definedName>
    <definedName name="S.">IF('GUIDANCE v2.5'!$S$6 &gt; 1, OFFSET(ISA!$S$3,0,0,'GUIDANCE v2.5'!$S$6,1), OFFSET(ISA!$S$3,0,0,3,1))</definedName>
    <definedName name="T.">IF('GUIDANCE v2.5'!$T$6 &gt; 1, OFFSET(ISA!$T$3,0,0,'GUIDANCE v2.5'!$T$6,1), OFFSET(ISA!$T$3,0,0,3,1))</definedName>
    <definedName name="U.">IF('GUIDANCE v2.5'!$U$6 &gt; 1, OFFSET(ISA!$U$3,0,0,'GUIDANCE v2.5'!$U$6,1), OFFSET(ISA!$U$3,0,0,3,1))</definedName>
    <definedName name="V.">IF('GUIDANCE v2.5'!$V$6 &gt; 1, OFFSET(ISA!$V$3,0,0,'GUIDANCE v2.5'!$V$6,1), OFFSET(ISA!$V$3,0,0,3,1))</definedName>
    <definedName name="W.">IF('GUIDANCE v2.5'!$W$6 &gt; 1, OFFSET(ISA!$W$3,0,0,'GUIDANCE v2.5'!$W$6,1), OFFSET(ISA!$W$3,0,0,3,1))</definedName>
    <definedName name="X.">IF('GUIDANCE v2.5'!$X$6 &gt; 1, OFFSET(ISA!$X$3,0,0,'GUIDANCE v2.5'!$X$6,1), OFFSET(ISA!$X$3,0,0,3,1))</definedName>
    <definedName name="Y.">IF('GUIDANCE v2.5'!$Y$6 &gt; 1, OFFSET(ISA!$Y$3,0,0,'GUIDANCE v2.5'!$Y$6,1), OFFSET(ISA!$Y$3,0,0,3,1))</definedName>
    <definedName name="Z.">IF('GUIDANCE v2.5'!$Z$6 &gt; 1, OFFSET(ISA!$Z$3,0,0,'GUIDANCE v2.5'!$Z$6,1), OFFSET(ISA!$Z$3,0,0,3,1))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2" i="1" l="1" a="1"/>
  <c r="K2" i="1" s="1"/>
  <c r="H2" i="1" a="1"/>
  <c r="H2" i="1" s="1"/>
  <c r="G2" i="1" a="1"/>
  <c r="G2" i="1" s="1"/>
  <c r="E2" i="1" a="1"/>
  <c r="E2" i="1" s="1"/>
  <c r="D2" i="1" a="1"/>
  <c r="D2" i="1" s="1"/>
  <c r="C2" i="1" a="1"/>
  <c r="C2" i="1" s="1"/>
  <c r="B2" i="1" a="1"/>
  <c r="B2" i="1" s="1"/>
  <c r="A2" i="1" a="1"/>
  <c r="A2" i="1" s="1"/>
  <c r="AB6" i="2" l="1" a="1"/>
  <c r="AB6" i="2" s="1"/>
  <c r="AB1" i="1" s="1" a="1"/>
  <c r="AB1" i="1" s="1"/>
  <c r="AA6" i="2" a="1"/>
  <c r="AA6" i="2" s="1"/>
  <c r="AA1" i="1" s="1" a="1"/>
  <c r="AA1" i="1" s="1"/>
  <c r="Z6" i="2" a="1"/>
  <c r="Z6" i="2" s="1"/>
  <c r="Z1" i="1" s="1" a="1"/>
  <c r="Z1" i="1" s="1"/>
  <c r="Y6" i="2" a="1"/>
  <c r="Y6" i="2" s="1"/>
  <c r="Y1" i="1" s="1" a="1"/>
  <c r="Y1" i="1" s="1"/>
  <c r="X6" i="2" a="1"/>
  <c r="X6" i="2" s="1"/>
  <c r="X1" i="1" s="1" a="1"/>
  <c r="X1" i="1" s="1"/>
  <c r="W6" i="2" a="1"/>
  <c r="W6" i="2" s="1"/>
  <c r="W1" i="1" s="1" a="1"/>
  <c r="W1" i="1" s="1"/>
  <c r="V6" i="2" a="1"/>
  <c r="V6" i="2" s="1"/>
  <c r="V1" i="1" s="1" a="1"/>
  <c r="V1" i="1" s="1"/>
  <c r="U6" i="2" a="1"/>
  <c r="U6" i="2" s="1"/>
  <c r="U1" i="1" s="1" a="1"/>
  <c r="U1" i="1" s="1"/>
  <c r="T6" i="2" a="1"/>
  <c r="T6" i="2" s="1"/>
  <c r="T1" i="1" s="1" a="1"/>
  <c r="T1" i="1" s="1"/>
  <c r="S6" i="2" a="1"/>
  <c r="S6" i="2" s="1"/>
  <c r="S1" i="1" s="1" a="1"/>
  <c r="S1" i="1" s="1"/>
  <c r="R6" i="2" a="1"/>
  <c r="R6" i="2" s="1"/>
  <c r="R1" i="1" s="1" a="1"/>
  <c r="R1" i="1" s="1"/>
  <c r="Q6" i="2" a="1"/>
  <c r="Q6" i="2" s="1"/>
  <c r="Q1" i="1" s="1" a="1"/>
  <c r="Q1" i="1" s="1"/>
  <c r="P6" i="2" a="1"/>
  <c r="P6" i="2" s="1"/>
  <c r="P1" i="1" s="1" a="1"/>
  <c r="P1" i="1" s="1"/>
  <c r="O6" i="2" a="1"/>
  <c r="O6" i="2" s="1"/>
  <c r="O1" i="1" s="1" a="1"/>
  <c r="O1" i="1" s="1"/>
  <c r="N6" i="2" a="1"/>
  <c r="N6" i="2" s="1"/>
  <c r="N1" i="1" s="1" a="1"/>
  <c r="N1" i="1" s="1"/>
  <c r="M6" i="2" a="1"/>
  <c r="M6" i="2" s="1"/>
  <c r="M1" i="1" s="1" a="1"/>
  <c r="M1" i="1" s="1"/>
  <c r="L6" i="2" a="1"/>
  <c r="L6" i="2" s="1"/>
  <c r="L1" i="1" s="1" a="1"/>
  <c r="L1" i="1" s="1"/>
  <c r="K6" i="2" a="1"/>
  <c r="K6" i="2" s="1"/>
  <c r="K1" i="1" s="1" a="1"/>
  <c r="K1" i="1" s="1"/>
  <c r="J6" i="2" a="1"/>
  <c r="J6" i="2" s="1"/>
  <c r="J1" i="1" s="1" a="1"/>
  <c r="J1" i="1" s="1"/>
  <c r="I6" i="2" a="1"/>
  <c r="I6" i="2" s="1"/>
  <c r="I1" i="1" s="1" a="1"/>
  <c r="I1" i="1" s="1"/>
  <c r="H6" i="2" a="1"/>
  <c r="H6" i="2" s="1"/>
  <c r="H1" i="1" s="1" a="1"/>
  <c r="H1" i="1" s="1"/>
  <c r="G6" i="2" a="1"/>
  <c r="G6" i="2" s="1"/>
  <c r="G1" i="1" s="1" a="1"/>
  <c r="G1" i="1" s="1"/>
  <c r="F6" i="2" a="1"/>
  <c r="F6" i="2" s="1"/>
  <c r="F1" i="1" s="1" a="1"/>
  <c r="F1" i="1" s="1"/>
  <c r="E6" i="2" a="1"/>
  <c r="E6" i="2" s="1"/>
  <c r="E1" i="1" s="1" a="1"/>
  <c r="E1" i="1" s="1"/>
  <c r="D6" i="2" a="1"/>
  <c r="D6" i="2" s="1"/>
  <c r="D1" i="1" s="1" a="1"/>
  <c r="D1" i="1" s="1"/>
  <c r="C6" i="2" a="1"/>
  <c r="C6" i="2" s="1"/>
  <c r="C1" i="1" s="1" a="1"/>
  <c r="C1" i="1" s="1"/>
  <c r="B6" i="2" a="1"/>
  <c r="B6" i="2" s="1"/>
  <c r="B1" i="1" s="1" a="1"/>
  <c r="B1" i="1" s="1"/>
  <c r="A6" i="2" a="1"/>
  <c r="A6" i="2" s="1"/>
  <c r="A1" i="1" s="1" a="1"/>
  <c r="A1" i="1" s="1"/>
</calcChain>
</file>

<file path=xl/sharedStrings.xml><?xml version="1.0" encoding="utf-8"?>
<sst xmlns="http://schemas.openxmlformats.org/spreadsheetml/2006/main" count="316" uniqueCount="175">
  <si>
    <t xml:space="preserve">COLUMN A </t>
  </si>
  <si>
    <t>WHAT DOES IT VALIDATE</t>
  </si>
  <si>
    <t>SEE ABOVE</t>
  </si>
  <si>
    <t>SEE LINE ABOVE</t>
  </si>
  <si>
    <t>N/K</t>
  </si>
  <si>
    <t>U/K</t>
  </si>
  <si>
    <t>DITTO</t>
  </si>
  <si>
    <t>NOT KNOWN</t>
  </si>
  <si>
    <t>UNKNOWN</t>
  </si>
  <si>
    <t xml:space="preserve">COLUMN B   </t>
  </si>
  <si>
    <t xml:space="preserve">COLUMN C  </t>
  </si>
  <si>
    <t xml:space="preserve">COLUMN D   </t>
  </si>
  <si>
    <t xml:space="preserve">COLUMN E   </t>
  </si>
  <si>
    <t xml:space="preserve">COLUMN F   </t>
  </si>
  <si>
    <t>COLUMN G</t>
  </si>
  <si>
    <t xml:space="preserve">COLUMN H  </t>
  </si>
  <si>
    <t xml:space="preserve">COLUMN I </t>
  </si>
  <si>
    <t xml:space="preserve">COLUMN J  </t>
  </si>
  <si>
    <t>COLUMN P</t>
  </si>
  <si>
    <t>COLUMN Q</t>
  </si>
  <si>
    <t>COLUMN R</t>
  </si>
  <si>
    <t>COLUMN S</t>
  </si>
  <si>
    <t>COLUMN V</t>
  </si>
  <si>
    <t>COLUMN W</t>
  </si>
  <si>
    <t>COLUMN X</t>
  </si>
  <si>
    <t>Y</t>
  </si>
  <si>
    <t>D</t>
  </si>
  <si>
    <t>Tax Year</t>
  </si>
  <si>
    <t>A</t>
  </si>
  <si>
    <t>B</t>
  </si>
  <si>
    <t>C</t>
  </si>
  <si>
    <t>X</t>
  </si>
  <si>
    <t>C/O</t>
  </si>
  <si>
    <t>National Insurance Number (NINO)</t>
  </si>
  <si>
    <t>Date of Birth</t>
  </si>
  <si>
    <t>ISA/JISA Account Number</t>
  </si>
  <si>
    <t>E</t>
  </si>
  <si>
    <t>F</t>
  </si>
  <si>
    <t>G</t>
  </si>
  <si>
    <t>H</t>
  </si>
  <si>
    <t>Z</t>
  </si>
  <si>
    <t>ISA/JISA Type</t>
  </si>
  <si>
    <t>Amount Subscribed to Stocks &amp; Shares ISA/JISA</t>
  </si>
  <si>
    <t>Amount Subscribed to Cash ISA/JISA</t>
  </si>
  <si>
    <t>Amount Subscribed to Innovative Finance ISA</t>
  </si>
  <si>
    <t>COLUMN T</t>
  </si>
  <si>
    <t>Total Amount Subscribed</t>
  </si>
  <si>
    <t>COLUMN U</t>
  </si>
  <si>
    <t>Date of 1st Subscription</t>
  </si>
  <si>
    <t xml:space="preserve">COLUMN Y </t>
  </si>
  <si>
    <t xml:space="preserve">COLUMN Z </t>
  </si>
  <si>
    <t>COLUMN AA</t>
  </si>
  <si>
    <t>Share Transfer Amount</t>
  </si>
  <si>
    <t xml:space="preserve">Stocks &amp; Shares ISA/JISA Market Value </t>
  </si>
  <si>
    <t xml:space="preserve">Cash ISA/JISA Market Value </t>
  </si>
  <si>
    <t xml:space="preserve">Innovative Finance ISA Market Value </t>
  </si>
  <si>
    <t xml:space="preserve">Insurance Market Value </t>
  </si>
  <si>
    <t>?</t>
  </si>
  <si>
    <t>Data Error Validations (Columns A - AB)</t>
  </si>
  <si>
    <t>Closure Date</t>
  </si>
  <si>
    <t>If the ISA is a Cash ISA</t>
  </si>
  <si>
    <t>If the ISA is a Stocks and Shares ISA</t>
  </si>
  <si>
    <t>If the JISA is a Cash JISA</t>
  </si>
  <si>
    <t>If the JISA is a Stocks and Shares JISA</t>
  </si>
  <si>
    <t>If the ISA is a Cash ISA which offers flexibility</t>
  </si>
  <si>
    <t>If the ISA is a Stocks and Shares ISA which offers flexibility</t>
  </si>
  <si>
    <t>If the ISA is an innovative Finance ISA which offers flexibility</t>
  </si>
  <si>
    <t>Amount of Subscriptions Used to Buy Insurance</t>
  </si>
  <si>
    <t>@</t>
  </si>
  <si>
    <t>COLUMNS K - O</t>
  </si>
  <si>
    <r>
      <t>v</t>
    </r>
    <r>
      <rPr>
        <sz val="14"/>
        <rFont val="Times New Roman"/>
        <family val="1"/>
      </rPr>
      <t xml:space="preserve">  </t>
    </r>
    <r>
      <rPr>
        <sz val="14"/>
        <rFont val="Calibri"/>
        <family val="2"/>
      </rPr>
      <t xml:space="preserve">The error validation formulas embedded within the template are a </t>
    </r>
    <r>
      <rPr>
        <b/>
        <u/>
        <sz val="14"/>
        <color indexed="30"/>
        <rFont val="Calibri"/>
        <family val="2"/>
      </rPr>
      <t>CUSTOMER SUPPORT TOOL</t>
    </r>
    <r>
      <rPr>
        <b/>
        <sz val="14"/>
        <rFont val="Calibri"/>
        <family val="2"/>
      </rPr>
      <t xml:space="preserve"> </t>
    </r>
    <r>
      <rPr>
        <sz val="14"/>
        <rFont val="Calibri"/>
        <family val="2"/>
      </rPr>
      <t>to assist the data supplier when entering their information.</t>
    </r>
  </si>
  <si>
    <r>
      <t>v</t>
    </r>
    <r>
      <rPr>
        <sz val="14"/>
        <rFont val="Times New Roman"/>
        <family val="1"/>
      </rPr>
      <t xml:space="preserve">  </t>
    </r>
    <r>
      <rPr>
        <sz val="14"/>
        <rFont val="Calibri"/>
        <family val="2"/>
      </rPr>
      <t xml:space="preserve">For each column, </t>
    </r>
    <r>
      <rPr>
        <b/>
        <sz val="14"/>
        <color theme="8"/>
        <rFont val="Calibri"/>
        <family val="2"/>
      </rPr>
      <t>ROW 1</t>
    </r>
    <r>
      <rPr>
        <sz val="14"/>
        <rFont val="Calibri"/>
        <family val="2"/>
      </rPr>
      <t xml:space="preserve"> will turn red to indicate that there is an error within the data supplied for that specific column. </t>
    </r>
  </si>
  <si>
    <r>
      <t>v</t>
    </r>
    <r>
      <rPr>
        <sz val="14"/>
        <rFont val="Times New Roman"/>
        <family val="1"/>
      </rPr>
      <t xml:space="preserve">  </t>
    </r>
    <r>
      <rPr>
        <sz val="14"/>
        <rFont val="Calibri"/>
        <family val="2"/>
      </rPr>
      <t>Validation will also provide the error count for that specific column (total number of fields containing errors) and the 1</t>
    </r>
    <r>
      <rPr>
        <vertAlign val="superscript"/>
        <sz val="14"/>
        <rFont val="Calibri"/>
        <family val="2"/>
      </rPr>
      <t>st</t>
    </r>
    <r>
      <rPr>
        <sz val="14"/>
        <rFont val="Calibri"/>
        <family val="2"/>
      </rPr>
      <t xml:space="preserve"> error row number. </t>
    </r>
  </si>
  <si>
    <r>
      <t>v</t>
    </r>
    <r>
      <rPr>
        <sz val="14"/>
        <rFont val="Times New Roman"/>
        <family val="1"/>
      </rPr>
      <t xml:space="preserve">  </t>
    </r>
    <r>
      <rPr>
        <sz val="14"/>
        <rFont val="Calibri"/>
        <family val="2"/>
      </rPr>
      <t>Once the field containing the 1</t>
    </r>
    <r>
      <rPr>
        <vertAlign val="superscript"/>
        <sz val="14"/>
        <rFont val="Calibri"/>
        <family val="2"/>
      </rPr>
      <t>st</t>
    </r>
    <r>
      <rPr>
        <sz val="14"/>
        <rFont val="Calibri"/>
        <family val="2"/>
      </rPr>
      <t xml:space="preserve"> error has been corrected, the 1</t>
    </r>
    <r>
      <rPr>
        <vertAlign val="superscript"/>
        <sz val="14"/>
        <rFont val="Calibri"/>
        <family val="2"/>
      </rPr>
      <t>st</t>
    </r>
    <r>
      <rPr>
        <sz val="14"/>
        <rFont val="Calibri"/>
        <family val="2"/>
      </rPr>
      <t xml:space="preserve"> error row number will update to indicate the next field error within that column (if applicable).</t>
    </r>
  </si>
  <si>
    <r>
      <t>v</t>
    </r>
    <r>
      <rPr>
        <sz val="14"/>
        <rFont val="Times New Roman"/>
        <family val="1"/>
      </rPr>
      <t xml:space="preserve">  </t>
    </r>
    <r>
      <rPr>
        <sz val="14"/>
        <rFont val="Calibri"/>
        <family val="2"/>
      </rPr>
      <t xml:space="preserve">Please note when entering information that the error validation has been designed as a </t>
    </r>
    <r>
      <rPr>
        <b/>
        <u/>
        <sz val="14"/>
        <color indexed="30"/>
        <rFont val="Calibri"/>
        <family val="2"/>
      </rPr>
      <t>CUSTOMER SUPPORT TOOL</t>
    </r>
    <r>
      <rPr>
        <sz val="14"/>
        <rFont val="Calibri"/>
        <family val="2"/>
      </rPr>
      <t xml:space="preserve"> and is </t>
    </r>
    <r>
      <rPr>
        <b/>
        <u/>
        <sz val="14"/>
        <color indexed="10"/>
        <rFont val="Calibri"/>
        <family val="2"/>
      </rPr>
      <t>NOT</t>
    </r>
    <r>
      <rPr>
        <sz val="14"/>
        <rFont val="Calibri"/>
        <family val="2"/>
      </rPr>
      <t xml:space="preserve"> able to identify </t>
    </r>
    <r>
      <rPr>
        <b/>
        <u/>
        <sz val="14"/>
        <color indexed="30"/>
        <rFont val="Calibri"/>
        <family val="2"/>
      </rPr>
      <t>ALL</t>
    </r>
    <r>
      <rPr>
        <sz val="14"/>
        <rFont val="Calibri"/>
        <family val="2"/>
      </rPr>
      <t xml:space="preserve"> potential errors which would be identified in subsequent HMRC data processing.</t>
    </r>
  </si>
  <si>
    <r>
      <t>v</t>
    </r>
    <r>
      <rPr>
        <sz val="14"/>
        <rFont val="Times New Roman"/>
        <family val="1"/>
      </rPr>
      <t xml:space="preserve">  </t>
    </r>
    <r>
      <rPr>
        <sz val="14"/>
        <rFont val="Calibri"/>
        <family val="2"/>
      </rPr>
      <t xml:space="preserve">Therefore please also refer to the </t>
    </r>
    <r>
      <rPr>
        <b/>
        <u/>
        <sz val="14"/>
        <color indexed="30"/>
        <rFont val="Calibri"/>
        <family val="2"/>
      </rPr>
      <t>GUIDANCE</t>
    </r>
    <r>
      <rPr>
        <sz val="14"/>
        <rFont val="Calibri"/>
        <family val="2"/>
      </rPr>
      <t xml:space="preserve"> on </t>
    </r>
    <r>
      <rPr>
        <b/>
        <sz val="14"/>
        <color theme="8"/>
        <rFont val="Calibri"/>
        <family val="2"/>
      </rPr>
      <t>ROW 1</t>
    </r>
    <r>
      <rPr>
        <sz val="14"/>
        <rFont val="Calibri"/>
        <family val="2"/>
      </rPr>
      <t xml:space="preserve"> of the template for further information on the requirements for supplying your data.</t>
    </r>
  </si>
  <si>
    <r>
      <t>v</t>
    </r>
    <r>
      <rPr>
        <sz val="14"/>
        <rFont val="Times New Roman"/>
        <family val="1"/>
      </rPr>
      <t xml:space="preserve">  </t>
    </r>
    <r>
      <rPr>
        <sz val="14"/>
        <rFont val="Calibri"/>
        <family val="2"/>
      </rPr>
      <t xml:space="preserve">Please </t>
    </r>
    <r>
      <rPr>
        <b/>
        <u/>
        <sz val="14"/>
        <color indexed="10"/>
        <rFont val="Calibri"/>
        <family val="2"/>
      </rPr>
      <t>DO NOT</t>
    </r>
    <r>
      <rPr>
        <sz val="14"/>
        <rFont val="Calibri"/>
        <family val="2"/>
      </rPr>
      <t xml:space="preserve"> change any data entry field formats or the original file format as this may affect the error validation. </t>
    </r>
  </si>
  <si>
    <r>
      <t>v</t>
    </r>
    <r>
      <rPr>
        <sz val="14"/>
        <rFont val="Times New Roman"/>
        <family val="1"/>
      </rPr>
      <t xml:space="preserve">  </t>
    </r>
    <r>
      <rPr>
        <sz val="14"/>
        <rFont val="Calibri"/>
        <family val="2"/>
      </rPr>
      <t>Please be aware that due to the size and complexity of the error validation formulas, you may experience delays with the validation response when inputting &amp; correcting data.</t>
    </r>
  </si>
  <si>
    <r>
      <t>v</t>
    </r>
    <r>
      <rPr>
        <sz val="14"/>
        <rFont val="Times New Roman"/>
        <family val="1"/>
      </rPr>
      <t xml:space="preserve">  </t>
    </r>
    <r>
      <rPr>
        <sz val="14"/>
        <rFont val="Calibri"/>
        <family val="2"/>
      </rPr>
      <t xml:space="preserve">If you have </t>
    </r>
    <r>
      <rPr>
        <b/>
        <u/>
        <sz val="14"/>
        <color rgb="FFFF0000"/>
        <rFont val="Calibri"/>
        <family val="2"/>
      </rPr>
      <t>NOT</t>
    </r>
    <r>
      <rPr>
        <sz val="14"/>
        <rFont val="Calibri"/>
        <family val="2"/>
      </rPr>
      <t xml:space="preserve"> completed any required fields within a specific column, </t>
    </r>
    <r>
      <rPr>
        <b/>
        <sz val="14"/>
        <color theme="8"/>
        <rFont val="Calibri"/>
        <family val="2"/>
      </rPr>
      <t>ROW 2</t>
    </r>
    <r>
      <rPr>
        <sz val="14"/>
        <rFont val="Calibri"/>
        <family val="2"/>
      </rPr>
      <t xml:space="preserve"> will turn red to indicate that fields have not been completed and will also provide the total number of fields '</t>
    </r>
    <r>
      <rPr>
        <b/>
        <sz val="14"/>
        <color rgb="FFFF0000"/>
        <rFont val="Calibri"/>
        <family val="2"/>
      </rPr>
      <t>Not Completed</t>
    </r>
    <r>
      <rPr>
        <sz val="14"/>
        <rFont val="Calibri"/>
        <family val="2"/>
      </rPr>
      <t>' within that specific column.</t>
    </r>
  </si>
  <si>
    <r>
      <t>v</t>
    </r>
    <r>
      <rPr>
        <sz val="14"/>
        <rFont val="Times New Roman"/>
        <family val="1"/>
      </rPr>
      <t xml:space="preserve">  </t>
    </r>
    <r>
      <rPr>
        <sz val="14"/>
        <rFont val="Calibri"/>
        <family val="2"/>
      </rPr>
      <t>Please see below the specific error validations for each individual data type/column.</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</si>
  <si>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50 character length.</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</si>
  <si>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20 character length.</t>
    </r>
  </si>
  <si>
    <r>
      <t>·</t>
    </r>
    <r>
      <rPr>
        <sz val="16"/>
        <rFont val="Times New Roman"/>
        <family val="1"/>
      </rPr>
      <t xml:space="preserve">         </t>
    </r>
    <r>
      <rPr>
        <sz val="16"/>
        <rFont val="Calibri"/>
        <family val="2"/>
      </rPr>
      <t xml:space="preserve">Data supplied is </t>
    </r>
    <r>
      <rPr>
        <b/>
        <u/>
        <sz val="16"/>
        <color indexed="10"/>
        <rFont val="Calibri"/>
        <family val="2"/>
      </rPr>
      <t>NOT</t>
    </r>
    <r>
      <rPr>
        <sz val="16"/>
        <rFont val="Calibri"/>
        <family val="2"/>
      </rPr>
      <t xml:space="preserve"> one of the following unacceptable data entries:</t>
    </r>
  </si>
  <si>
    <r>
      <t>·</t>
    </r>
    <r>
      <rPr>
        <sz val="16"/>
        <rFont val="Times New Roman"/>
        <family val="1"/>
      </rPr>
      <t xml:space="preserve">         </t>
    </r>
    <r>
      <rPr>
        <sz val="16"/>
        <rFont val="Calibri"/>
        <family val="2"/>
      </rPr>
      <t xml:space="preserve">Data supplied </t>
    </r>
    <r>
      <rPr>
        <b/>
        <u/>
        <sz val="16"/>
        <color indexed="17"/>
        <rFont val="Calibri"/>
        <family val="2"/>
      </rPr>
      <t>MATCHES</t>
    </r>
    <r>
      <rPr>
        <sz val="16"/>
        <rFont val="Calibri"/>
        <family val="2"/>
      </rPr>
      <t xml:space="preserve"> 1 character specific length.</t>
    </r>
  </si>
  <si>
    <r>
      <t>·</t>
    </r>
    <r>
      <rPr>
        <sz val="16"/>
        <rFont val="Times New Roman"/>
        <family val="1"/>
      </rPr>
      <t xml:space="preserve">         </t>
    </r>
    <r>
      <rPr>
        <sz val="16"/>
        <rFont val="Calibri"/>
        <family val="2"/>
      </rPr>
      <t>Data supplied  is any of the following characters:</t>
    </r>
  </si>
  <si>
    <r>
      <t>·</t>
    </r>
    <r>
      <rPr>
        <sz val="16"/>
        <rFont val="Times New Roman"/>
        <family val="1"/>
      </rPr>
      <t xml:space="preserve">         </t>
    </r>
    <r>
      <rPr>
        <b/>
        <u/>
        <sz val="16"/>
        <color indexed="10"/>
        <rFont val="Calibri"/>
        <family val="2"/>
      </rPr>
      <t>NO</t>
    </r>
    <r>
      <rPr>
        <sz val="16"/>
        <rFont val="Calibri"/>
        <family val="2"/>
      </rPr>
      <t xml:space="preserve"> other characters are acceptable.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</si>
  <si>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10 character length.</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</si>
  <si>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40 character length.</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</si>
  <si>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begin with one of the following unacceptable data entries: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</si>
  <si>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contain carriage returns/Line Breaks.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</si>
  <si>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8 character length.</t>
    </r>
  </si>
  <si>
    <r>
      <t>·</t>
    </r>
    <r>
      <rPr>
        <sz val="16"/>
        <rFont val="Times New Roman"/>
        <family val="1"/>
      </rPr>
      <t xml:space="preserve">         </t>
    </r>
    <r>
      <rPr>
        <sz val="16"/>
        <rFont val="Calibri"/>
        <family val="2"/>
      </rPr>
      <t xml:space="preserve">Data supplied </t>
    </r>
    <r>
      <rPr>
        <b/>
        <u/>
        <sz val="16"/>
        <color rgb="FF00B050"/>
        <rFont val="Calibri"/>
        <family val="2"/>
      </rPr>
      <t>MATCHES</t>
    </r>
    <r>
      <rPr>
        <sz val="16"/>
        <rFont val="Calibri"/>
        <family val="2"/>
      </rPr>
      <t xml:space="preserve"> 8 character specific length.</t>
    </r>
  </si>
  <si>
    <t>*</t>
  </si>
  <si>
    <t>~</t>
  </si>
  <si>
    <r>
      <t>·</t>
    </r>
    <r>
      <rPr>
        <sz val="16"/>
        <rFont val="Times New Roman"/>
        <family val="1"/>
      </rPr>
      <t xml:space="preserve">         </t>
    </r>
    <r>
      <rPr>
        <sz val="16"/>
        <rFont val="Calibri"/>
        <family val="2"/>
      </rPr>
      <t xml:space="preserve">Data supplied </t>
    </r>
    <r>
      <rPr>
        <b/>
        <u/>
        <sz val="16"/>
        <color rgb="FF00B050"/>
        <rFont val="Calibri"/>
        <family val="2"/>
      </rPr>
      <t>MATCHES</t>
    </r>
    <r>
      <rPr>
        <sz val="16"/>
        <rFont val="Calibri"/>
        <family val="2"/>
      </rPr>
      <t xml:space="preserve"> 4 character specific length.</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</si>
  <si>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numerical characters.</t>
    </r>
  </si>
  <si>
    <r>
      <t xml:space="preserve">If the ISA is an Innovative Finance ISA which does </t>
    </r>
    <r>
      <rPr>
        <b/>
        <u/>
        <sz val="14"/>
        <color indexed="10"/>
        <rFont val="Calibri"/>
        <family val="2"/>
      </rPr>
      <t>NOT</t>
    </r>
    <r>
      <rPr>
        <b/>
        <sz val="14"/>
        <rFont val="Calibri"/>
        <family val="2"/>
      </rPr>
      <t xml:space="preserve"> offer flexibility</t>
    </r>
  </si>
  <si>
    <r>
      <t xml:space="preserve">If the account is an ISA which does </t>
    </r>
    <r>
      <rPr>
        <b/>
        <u/>
        <sz val="14"/>
        <color indexed="10"/>
        <rFont val="Calibri"/>
        <family val="2"/>
      </rPr>
      <t>NOT</t>
    </r>
    <r>
      <rPr>
        <b/>
        <sz val="14"/>
        <rFont val="Calibri"/>
        <family val="2"/>
      </rPr>
      <t xml:space="preserve"> offer flexibility and there were </t>
    </r>
    <r>
      <rPr>
        <b/>
        <u/>
        <sz val="14"/>
        <color indexed="10"/>
        <rFont val="Calibri"/>
        <family val="2"/>
      </rPr>
      <t>NO</t>
    </r>
    <r>
      <rPr>
        <b/>
        <sz val="14"/>
        <rFont val="Calibri"/>
        <family val="2"/>
      </rPr>
      <t xml:space="preserve"> subscriptions in the period covered by the return other than additional permitted or defaulted subscriptions</t>
    </r>
  </si>
  <si>
    <r>
      <t xml:space="preserve">If the account is a JISA and there were </t>
    </r>
    <r>
      <rPr>
        <b/>
        <u/>
        <sz val="14"/>
        <color indexed="10"/>
        <rFont val="Calibri"/>
        <family val="2"/>
      </rPr>
      <t>NO</t>
    </r>
    <r>
      <rPr>
        <b/>
        <sz val="14"/>
        <rFont val="Calibri"/>
        <family val="2"/>
      </rPr>
      <t xml:space="preserve"> subscriptions in the period covered by the return</t>
    </r>
  </si>
  <si>
    <r>
      <t xml:space="preserve">If the account is an ISA which offers flexibility and there were </t>
    </r>
    <r>
      <rPr>
        <b/>
        <u/>
        <sz val="14"/>
        <color indexed="10"/>
        <rFont val="Calibri"/>
        <family val="2"/>
      </rPr>
      <t>NO</t>
    </r>
    <r>
      <rPr>
        <b/>
        <sz val="14"/>
        <rFont val="Calibri"/>
        <family val="2"/>
      </rPr>
      <t xml:space="preserve"> subscriptions in the period covered by the return other than flexible ISA replacement, additional permitted or defaulted subscriptions</t>
    </r>
  </si>
  <si>
    <t>NOT APPLICABLE</t>
  </si>
  <si>
    <t>N/A</t>
  </si>
  <si>
    <r>
      <t>·</t>
    </r>
    <r>
      <rPr>
        <sz val="16"/>
        <rFont val="Times New Roman"/>
        <family val="1"/>
      </rPr>
      <t xml:space="preserve">         </t>
    </r>
    <r>
      <rPr>
        <sz val="16"/>
        <rFont val="Calibri"/>
        <family val="2"/>
      </rPr>
      <t xml:space="preserve">Data supplied </t>
    </r>
    <r>
      <rPr>
        <b/>
        <u/>
        <sz val="16"/>
        <color rgb="FF00B050"/>
        <rFont val="Calibri"/>
        <family val="2"/>
      </rPr>
      <t>CONTAINS</t>
    </r>
    <r>
      <rPr>
        <sz val="16"/>
        <rFont val="Calibri"/>
        <family val="2"/>
      </rPr>
      <t xml:space="preserve"> a numerical character.</t>
    </r>
  </si>
  <si>
    <r>
      <t>·</t>
    </r>
    <r>
      <rPr>
        <sz val="16"/>
        <rFont val="Times New Roman"/>
        <family val="1"/>
      </rPr>
      <t xml:space="preserve">         </t>
    </r>
    <r>
      <rPr>
        <sz val="16"/>
        <rFont val="Calibri"/>
        <family val="2"/>
      </rPr>
      <t xml:space="preserve">Non-numerical characters are </t>
    </r>
    <r>
      <rPr>
        <b/>
        <u/>
        <sz val="16"/>
        <color rgb="FFFF0000"/>
        <rFont val="Calibri"/>
        <family val="2"/>
      </rPr>
      <t>NOT</t>
    </r>
    <r>
      <rPr>
        <sz val="16"/>
        <rFont val="Calibri"/>
        <family val="2"/>
      </rPr>
      <t xml:space="preserve"> acceptable.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</si>
  <si>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99999999 amount value.</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</si>
  <si>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a numerical value.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</si>
  <si>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999999999999999 amount value.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</si>
  <si>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9999999999 amount value.</t>
    </r>
  </si>
  <si>
    <t>Date of Birth
8 Characters
CONDITIONAL FIELD</t>
  </si>
  <si>
    <t>Amount Subscribed to
Stocks &amp; Shares ISA/JISA
Max. 8 Characters
CONDITIONAL FIELD</t>
  </si>
  <si>
    <t>Amount Subscribed to
Cash ISA/JISA
Max. 8 Characters
CONDITIONAL FIELD</t>
  </si>
  <si>
    <t>Amount Subscribed to
Innovative Finance ISA                           
Max. 8 Characters
CONDITIONAL FIELD</t>
  </si>
  <si>
    <t>Amount of Subscriptions
Used to Buy Insurance
Max. 8 Characters
CONDITIONAL FIELD</t>
  </si>
  <si>
    <t>Total Amount Subscribed
Max. 8 Characters
CONDITIONAL FIELD</t>
  </si>
  <si>
    <t>Date of 1st Subscription
8 Characters
CONDITIONAL FIELD</t>
  </si>
  <si>
    <t>Share Transfer Amount
(ISA ONLY)
Max. 8 Characters
CONDITIONAL FIELD</t>
  </si>
  <si>
    <t>Stocks &amp; Shares
ISA/JISA Market Value
Max. 20 Characters
CONDITIONAL FIELD</t>
  </si>
  <si>
    <t>Cash ISA/JISA Market Value
Max. 10 Characters
CONDITIONAL FIELD</t>
  </si>
  <si>
    <t>Innovative Finance ISA Market Value
Max. 10 Characters
CONDITIONAL FIELD</t>
  </si>
  <si>
    <t>Insurance Market Value
Max. 20 Characters
CONDITIONAL FIELD</t>
  </si>
  <si>
    <t>Closure Date
8 Characters
CONDITIONAL FIELD</t>
  </si>
  <si>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contain any of the following unacceptable characters:</t>
    </r>
  </si>
  <si>
    <r>
      <t>v</t>
    </r>
    <r>
      <rPr>
        <sz val="14"/>
        <rFont val="Times New Roman"/>
        <family val="1"/>
      </rPr>
      <t xml:space="preserve">  </t>
    </r>
    <r>
      <rPr>
        <sz val="14"/>
        <rFont val="Calibri"/>
        <family val="2"/>
      </rPr>
      <t xml:space="preserve">After all errors within a specific column have been corrected, row 1 for that column will cease to be red, indicating that there are no further </t>
    </r>
    <r>
      <rPr>
        <sz val="14"/>
        <color indexed="8"/>
        <rFont val="Calibri"/>
        <family val="2"/>
      </rPr>
      <t>recognised errors</t>
    </r>
    <r>
      <rPr>
        <sz val="14"/>
        <rFont val="Calibri"/>
        <family val="2"/>
      </rPr>
      <t xml:space="preserve"> within that column.</t>
    </r>
  </si>
  <si>
    <r>
      <t>v</t>
    </r>
    <r>
      <rPr>
        <sz val="14"/>
        <rFont val="Times New Roman"/>
        <family val="1"/>
      </rPr>
      <t xml:space="preserve">  </t>
    </r>
    <r>
      <rPr>
        <sz val="14"/>
        <rFont val="Calibri"/>
        <family val="2"/>
      </rPr>
      <t xml:space="preserve">Please ensure that your return </t>
    </r>
    <r>
      <rPr>
        <b/>
        <u/>
        <sz val="14"/>
        <color indexed="57"/>
        <rFont val="Calibri"/>
        <family val="2"/>
      </rPr>
      <t>IS</t>
    </r>
    <r>
      <rPr>
        <sz val="14"/>
        <rFont val="Calibri"/>
        <family val="2"/>
      </rPr>
      <t xml:space="preserve"> submitted using the downloaded original spreadsheet template and </t>
    </r>
    <r>
      <rPr>
        <b/>
        <u/>
        <sz val="14"/>
        <color indexed="10"/>
        <rFont val="Calibri"/>
        <family val="2"/>
      </rPr>
      <t>NOT</t>
    </r>
    <r>
      <rPr>
        <sz val="14"/>
        <rFont val="Calibri"/>
        <family val="2"/>
      </rPr>
      <t xml:space="preserve"> copied onto a blank excel spreadsheet as this may impact HMRC processing.</t>
    </r>
  </si>
  <si>
    <r>
      <t>v</t>
    </r>
    <r>
      <rPr>
        <sz val="14"/>
        <rFont val="Times New Roman"/>
        <family val="1"/>
      </rPr>
      <t xml:space="preserve">  </t>
    </r>
    <r>
      <rPr>
        <sz val="14"/>
        <rFont val="Calibri"/>
        <family val="2"/>
      </rPr>
      <t xml:space="preserve">Please ensure that </t>
    </r>
    <r>
      <rPr>
        <b/>
        <u/>
        <sz val="14"/>
        <color indexed="30"/>
        <rFont val="Calibri"/>
        <family val="2"/>
      </rPr>
      <t>ALL</t>
    </r>
    <r>
      <rPr>
        <sz val="14"/>
        <rFont val="Calibri"/>
        <family val="2"/>
      </rPr>
      <t xml:space="preserve"> recognised errors are </t>
    </r>
    <r>
      <rPr>
        <b/>
        <u/>
        <sz val="14"/>
        <color indexed="57"/>
        <rFont val="Calibri"/>
        <family val="2"/>
      </rPr>
      <t>CORRECTED</t>
    </r>
    <r>
      <rPr>
        <sz val="14"/>
        <rFont val="Calibri"/>
        <family val="2"/>
      </rPr>
      <t xml:space="preserve"> before submitting your information.</t>
    </r>
  </si>
  <si>
    <r>
      <t>v</t>
    </r>
    <r>
      <rPr>
        <sz val="14"/>
        <rFont val="Times New Roman"/>
        <family val="1"/>
      </rPr>
      <t xml:space="preserve">  </t>
    </r>
    <r>
      <rPr>
        <sz val="14"/>
        <rFont val="Calibri"/>
        <family val="2"/>
      </rPr>
      <t xml:space="preserve">If you are pasting your data onto the spreadsheet please ensure that you use the </t>
    </r>
    <r>
      <rPr>
        <b/>
        <u/>
        <sz val="14"/>
        <color indexed="17"/>
        <rFont val="Calibri"/>
        <family val="2"/>
      </rPr>
      <t>PASTE SPECIAL</t>
    </r>
    <r>
      <rPr>
        <sz val="14"/>
        <rFont val="Calibri"/>
        <family val="2"/>
      </rPr>
      <t xml:space="preserve"> option and select </t>
    </r>
    <r>
      <rPr>
        <b/>
        <u/>
        <sz val="14"/>
        <color indexed="17"/>
        <rFont val="Calibri"/>
        <family val="2"/>
      </rPr>
      <t>VALUES</t>
    </r>
    <r>
      <rPr>
        <sz val="14"/>
        <rFont val="Calibri"/>
        <family val="2"/>
      </rPr>
      <t xml:space="preserve"> to ensure that the original data entry field format is </t>
    </r>
    <r>
      <rPr>
        <b/>
        <u/>
        <sz val="14"/>
        <color indexed="10"/>
        <rFont val="Calibri"/>
        <family val="2"/>
      </rPr>
      <t>NOT</t>
    </r>
    <r>
      <rPr>
        <sz val="14"/>
        <rFont val="Calibri"/>
        <family val="2"/>
      </rPr>
      <t xml:space="preserve"> overwritten.</t>
    </r>
  </si>
  <si>
    <r>
      <t>·</t>
    </r>
    <r>
      <rPr>
        <sz val="16"/>
        <rFont val="Times New Roman"/>
        <family val="1"/>
      </rPr>
      <t xml:space="preserve">         </t>
    </r>
    <r>
      <rPr>
        <sz val="16"/>
        <rFont val="Calibri"/>
        <family val="2"/>
      </rPr>
      <t xml:space="preserve">Data supplied does </t>
    </r>
    <r>
      <rPr>
        <b/>
        <u/>
        <sz val="16"/>
        <color indexed="10"/>
        <rFont val="Calibri"/>
        <family val="2"/>
      </rPr>
      <t>NOT</t>
    </r>
    <r>
      <rPr>
        <b/>
        <sz val="16"/>
        <color indexed="10"/>
        <rFont val="Calibri"/>
        <family val="2"/>
      </rPr>
      <t xml:space="preserve"> </t>
    </r>
    <r>
      <rPr>
        <sz val="16"/>
        <rFont val="Calibri"/>
        <family val="2"/>
      </rPr>
      <t>contain b</t>
    </r>
    <r>
      <rPr>
        <sz val="16"/>
        <color theme="1"/>
        <rFont val="Calibri"/>
        <family val="2"/>
      </rPr>
      <t>lank spaces</t>
    </r>
    <r>
      <rPr>
        <sz val="16"/>
        <rFont val="Calibri"/>
        <family val="2"/>
      </rPr>
      <t>.</t>
    </r>
  </si>
  <si>
    <r>
      <t>·</t>
    </r>
    <r>
      <rPr>
        <sz val="16"/>
        <rFont val="Times New Roman"/>
        <family val="1"/>
      </rPr>
      <t xml:space="preserve">         </t>
    </r>
    <r>
      <rPr>
        <sz val="16"/>
        <rFont val="Calibri"/>
        <family val="2"/>
      </rPr>
      <t xml:space="preserve">Data supplied does </t>
    </r>
    <r>
      <rPr>
        <b/>
        <u/>
        <sz val="16"/>
        <color indexed="10"/>
        <rFont val="Calibri"/>
        <family val="2"/>
      </rPr>
      <t>NOT</t>
    </r>
    <r>
      <rPr>
        <b/>
        <sz val="16"/>
        <color indexed="10"/>
        <rFont val="Calibri"/>
        <family val="2"/>
      </rPr>
      <t xml:space="preserve"> </t>
    </r>
    <r>
      <rPr>
        <sz val="16"/>
        <rFont val="Calibri"/>
        <family val="2"/>
      </rPr>
      <t>contain blank spaces.</t>
    </r>
  </si>
  <si>
    <r>
      <t>·</t>
    </r>
    <r>
      <rPr>
        <sz val="16"/>
        <rFont val="Times New Roman"/>
        <family val="1"/>
      </rPr>
      <t xml:space="preserve">         </t>
    </r>
    <r>
      <rPr>
        <sz val="16"/>
        <rFont val="Calibri"/>
        <family val="2"/>
      </rPr>
      <t xml:space="preserve">Data supplied </t>
    </r>
    <r>
      <rPr>
        <b/>
        <u/>
        <sz val="16"/>
        <color rgb="FF00B050"/>
        <rFont val="Calibri"/>
        <family val="2"/>
      </rPr>
      <t>MATCHES</t>
    </r>
    <r>
      <rPr>
        <b/>
        <sz val="16"/>
        <rFont val="Calibri"/>
        <family val="2"/>
      </rPr>
      <t xml:space="preserve"> </t>
    </r>
    <r>
      <rPr>
        <sz val="16"/>
        <rFont val="Calibri"/>
        <family val="2"/>
      </rPr>
      <t xml:space="preserve">required format </t>
    </r>
    <r>
      <rPr>
        <b/>
        <sz val="16"/>
        <color rgb="FF00B050"/>
        <rFont val="Calibri"/>
        <family val="2"/>
      </rPr>
      <t>ZNNNN/NN</t>
    </r>
    <r>
      <rPr>
        <sz val="16"/>
        <rFont val="Calibri"/>
        <family val="2"/>
      </rPr>
      <t>.</t>
    </r>
  </si>
  <si>
    <r>
      <t>·</t>
    </r>
    <r>
      <rPr>
        <sz val="16"/>
        <rFont val="Times New Roman"/>
        <family val="1"/>
      </rPr>
      <t xml:space="preserve">         </t>
    </r>
    <r>
      <rPr>
        <sz val="16"/>
        <rFont val="Calibri"/>
        <family val="2"/>
      </rPr>
      <t xml:space="preserve">Data supplied </t>
    </r>
    <r>
      <rPr>
        <b/>
        <u/>
        <sz val="16"/>
        <color rgb="FF00B050"/>
        <rFont val="Calibri"/>
        <family val="2"/>
      </rPr>
      <t>BEGINS</t>
    </r>
    <r>
      <rPr>
        <sz val="16"/>
        <rFont val="Calibri"/>
        <family val="2"/>
      </rPr>
      <t xml:space="preserve"> with the first 2 expected numerical characters </t>
    </r>
    <r>
      <rPr>
        <b/>
        <sz val="16"/>
        <color indexed="30"/>
        <rFont val="Calibri"/>
        <family val="2"/>
      </rPr>
      <t xml:space="preserve">i.e. </t>
    </r>
    <r>
      <rPr>
        <b/>
        <sz val="16"/>
        <color rgb="FF00B050"/>
        <rFont val="Calibri"/>
        <family val="2"/>
      </rPr>
      <t>20</t>
    </r>
    <r>
      <rPr>
        <sz val="16"/>
        <rFont val="Calibri"/>
        <family val="2"/>
      </rPr>
      <t>.</t>
    </r>
  </si>
  <si>
    <r>
      <t>·</t>
    </r>
    <r>
      <rPr>
        <sz val="16"/>
        <rFont val="Times New Roman"/>
        <family val="1"/>
      </rPr>
      <t xml:space="preserve">         </t>
    </r>
    <r>
      <rPr>
        <sz val="16"/>
        <rFont val="Calibri"/>
        <family val="2"/>
      </rPr>
      <t xml:space="preserve">Data supplied </t>
    </r>
    <r>
      <rPr>
        <b/>
        <u/>
        <sz val="16"/>
        <color rgb="FF00B050"/>
        <rFont val="Calibri"/>
        <family val="2"/>
      </rPr>
      <t>BEGINS</t>
    </r>
    <r>
      <rPr>
        <sz val="16"/>
        <rFont val="Calibri"/>
        <family val="2"/>
      </rPr>
      <t xml:space="preserve"> with </t>
    </r>
    <r>
      <rPr>
        <b/>
        <sz val="16"/>
        <color rgb="FF00B050"/>
        <rFont val="Calibri"/>
        <family val="2"/>
      </rPr>
      <t>Z</t>
    </r>
    <r>
      <rPr>
        <sz val="16"/>
        <rFont val="Calibri"/>
        <family val="2"/>
      </rPr>
      <t>.</t>
    </r>
  </si>
  <si>
    <t xml:space="preserve">National Insurance Number 
(NINO)
8-9 Characters
CONDITIONAL FIELD </t>
  </si>
  <si>
    <r>
      <t>·</t>
    </r>
    <r>
      <rPr>
        <sz val="16"/>
        <rFont val="Times New Roman"/>
        <family val="1"/>
      </rPr>
      <t>        </t>
    </r>
    <r>
      <rPr>
        <sz val="16"/>
        <rFont val="Calibri"/>
        <family val="2"/>
      </rPr>
      <t xml:space="preserve">Data supplied </t>
    </r>
    <r>
      <rPr>
        <b/>
        <u/>
        <sz val="16"/>
        <color rgb="FF00B050"/>
        <rFont val="Calibri"/>
        <family val="2"/>
      </rPr>
      <t>IS</t>
    </r>
    <r>
      <rPr>
        <sz val="16"/>
        <rFont val="Calibri"/>
        <family val="2"/>
      </rPr>
      <t xml:space="preserve"> between </t>
    </r>
    <r>
      <rPr>
        <sz val="16"/>
        <color theme="1"/>
        <rFont val="Calibri"/>
        <family val="2"/>
      </rPr>
      <t xml:space="preserve">8-9 </t>
    </r>
    <r>
      <rPr>
        <sz val="16"/>
        <rFont val="Calibri"/>
        <family val="2"/>
      </rPr>
      <t>characters in length.</t>
    </r>
  </si>
  <si>
    <r>
      <t>·</t>
    </r>
    <r>
      <rPr>
        <sz val="16"/>
        <rFont val="Times New Roman"/>
        <family val="1"/>
      </rPr>
      <t>        </t>
    </r>
    <r>
      <rPr>
        <sz val="16"/>
        <rFont val="Calibri"/>
        <family val="2"/>
      </rPr>
      <t xml:space="preserve">Data supplied </t>
    </r>
    <r>
      <rPr>
        <b/>
        <u/>
        <sz val="16"/>
        <color rgb="FF00B050"/>
        <rFont val="Calibri"/>
        <family val="2"/>
      </rPr>
      <t>MATCHES</t>
    </r>
    <r>
      <rPr>
        <b/>
        <sz val="16"/>
        <rFont val="Calibri"/>
        <family val="2"/>
      </rPr>
      <t xml:space="preserve"> </t>
    </r>
    <r>
      <rPr>
        <sz val="16"/>
        <rFont val="Calibri"/>
        <family val="2"/>
      </rPr>
      <t xml:space="preserve">required format </t>
    </r>
    <r>
      <rPr>
        <b/>
        <sz val="16"/>
        <color rgb="FF00B050"/>
        <rFont val="Calibri"/>
        <family val="2"/>
      </rPr>
      <t xml:space="preserve">AANNNNNNA </t>
    </r>
    <r>
      <rPr>
        <sz val="16"/>
        <color theme="1"/>
        <rFont val="Calibri"/>
        <family val="2"/>
      </rPr>
      <t xml:space="preserve">or </t>
    </r>
    <r>
      <rPr>
        <b/>
        <sz val="16"/>
        <color rgb="FF00B050"/>
        <rFont val="Calibri"/>
        <family val="2"/>
      </rPr>
      <t>AANNNNNN</t>
    </r>
    <r>
      <rPr>
        <sz val="16"/>
        <color theme="1"/>
        <rFont val="Calibri"/>
        <family val="2"/>
      </rPr>
      <t>.</t>
    </r>
  </si>
  <si>
    <r>
      <t>·</t>
    </r>
    <r>
      <rPr>
        <sz val="16"/>
        <rFont val="Times New Roman"/>
        <family val="1"/>
      </rPr>
      <t>       </t>
    </r>
    <r>
      <rPr>
        <sz val="16"/>
        <rFont val="Calibri"/>
        <family val="2"/>
        <scheme val="minor"/>
      </rPr>
      <t xml:space="preserve"> Data supplied for the </t>
    </r>
    <r>
      <rPr>
        <b/>
        <sz val="16"/>
        <color rgb="FF0070C0"/>
        <rFont val="Calibri"/>
        <family val="2"/>
        <scheme val="minor"/>
      </rPr>
      <t>1st</t>
    </r>
    <r>
      <rPr>
        <sz val="16"/>
        <rFont val="Calibri"/>
        <family val="2"/>
        <scheme val="minor"/>
      </rPr>
      <t xml:space="preserve"> NINO prefix character is </t>
    </r>
    <r>
      <rPr>
        <b/>
        <u/>
        <sz val="16"/>
        <color rgb="FFFF0000"/>
        <rFont val="Calibri"/>
        <family val="2"/>
        <scheme val="minor"/>
      </rPr>
      <t>NOT</t>
    </r>
    <r>
      <rPr>
        <sz val="16"/>
        <rFont val="Calibri"/>
        <family val="2"/>
        <scheme val="minor"/>
      </rPr>
      <t xml:space="preserve"> any of the following unacceptable characters:</t>
    </r>
  </si>
  <si>
    <t>I</t>
  </si>
  <si>
    <t>U</t>
  </si>
  <si>
    <t>V</t>
  </si>
  <si>
    <r>
      <t>·</t>
    </r>
    <r>
      <rPr>
        <sz val="16"/>
        <rFont val="Times New Roman"/>
        <family val="1"/>
      </rPr>
      <t>       </t>
    </r>
    <r>
      <rPr>
        <sz val="16"/>
        <rFont val="Calibri"/>
        <family val="2"/>
        <scheme val="minor"/>
      </rPr>
      <t xml:space="preserve"> Data supplied for the </t>
    </r>
    <r>
      <rPr>
        <b/>
        <sz val="16"/>
        <color rgb="FF0070C0"/>
        <rFont val="Calibri"/>
        <family val="2"/>
        <scheme val="minor"/>
      </rPr>
      <t>2nd</t>
    </r>
    <r>
      <rPr>
        <sz val="16"/>
        <rFont val="Calibri"/>
        <family val="2"/>
        <scheme val="minor"/>
      </rPr>
      <t xml:space="preserve"> NINO prefix character is </t>
    </r>
    <r>
      <rPr>
        <b/>
        <u/>
        <sz val="16"/>
        <color rgb="FFFF0000"/>
        <rFont val="Calibri"/>
        <family val="2"/>
        <scheme val="minor"/>
      </rPr>
      <t>NOT</t>
    </r>
    <r>
      <rPr>
        <sz val="16"/>
        <rFont val="Calibri"/>
        <family val="2"/>
        <scheme val="minor"/>
      </rPr>
      <t xml:space="preserve"> any of the following unacceptable characters:</t>
    </r>
  </si>
  <si>
    <t>O</t>
  </si>
  <si>
    <r>
      <t>·</t>
    </r>
    <r>
      <rPr>
        <sz val="16"/>
        <rFont val="Times New Roman"/>
        <family val="1"/>
      </rPr>
      <t>       </t>
    </r>
    <r>
      <rPr>
        <sz val="16"/>
        <rFont val="Calibri"/>
        <family val="2"/>
        <scheme val="minor"/>
      </rPr>
      <t xml:space="preserve"> Data supplied does </t>
    </r>
    <r>
      <rPr>
        <b/>
        <u/>
        <sz val="16"/>
        <color rgb="FFFF0000"/>
        <rFont val="Calibri"/>
        <family val="2"/>
        <scheme val="minor"/>
      </rPr>
      <t>NOT</t>
    </r>
    <r>
      <rPr>
        <sz val="16"/>
        <rFont val="Calibri"/>
        <family val="2"/>
        <scheme val="minor"/>
      </rPr>
      <t xml:space="preserve"> begin with any of the following unacceptable NINO prefix combinations:</t>
    </r>
  </si>
  <si>
    <t>BG</t>
  </si>
  <si>
    <t>GB</t>
  </si>
  <si>
    <t>KN</t>
  </si>
  <si>
    <t>NK</t>
  </si>
  <si>
    <t>NT</t>
  </si>
  <si>
    <t>TN</t>
  </si>
  <si>
    <t>ZZ</t>
  </si>
  <si>
    <r>
      <t>·</t>
    </r>
    <r>
      <rPr>
        <sz val="16"/>
        <rFont val="Times New Roman"/>
        <family val="1"/>
      </rPr>
      <t>        </t>
    </r>
    <r>
      <rPr>
        <sz val="16"/>
        <rFont val="Calibri"/>
        <family val="2"/>
      </rPr>
      <t xml:space="preserve">Data supplied </t>
    </r>
    <r>
      <rPr>
        <sz val="16"/>
        <color theme="1"/>
        <rFont val="Calibri"/>
        <family val="2"/>
      </rPr>
      <t xml:space="preserve">for </t>
    </r>
    <r>
      <rPr>
        <b/>
        <sz val="16"/>
        <color rgb="FF0070C0"/>
        <rFont val="Calibri"/>
        <family val="2"/>
      </rPr>
      <t>9th</t>
    </r>
    <r>
      <rPr>
        <sz val="16"/>
        <color theme="1"/>
        <rFont val="Calibri"/>
        <family val="2"/>
      </rPr>
      <t xml:space="preserve"> NINO character is either </t>
    </r>
    <r>
      <rPr>
        <b/>
        <sz val="16"/>
        <color rgb="FF00B050"/>
        <rFont val="Calibri"/>
        <family val="2"/>
      </rPr>
      <t>A</t>
    </r>
    <r>
      <rPr>
        <sz val="16"/>
        <color theme="1"/>
        <rFont val="Calibri"/>
        <family val="2"/>
      </rPr>
      <t xml:space="preserve">, </t>
    </r>
    <r>
      <rPr>
        <b/>
        <sz val="16"/>
        <color rgb="FF00B050"/>
        <rFont val="Calibri"/>
        <family val="2"/>
      </rPr>
      <t>B</t>
    </r>
    <r>
      <rPr>
        <sz val="16"/>
        <color theme="1"/>
        <rFont val="Calibri"/>
        <family val="2"/>
      </rPr>
      <t xml:space="preserve">, </t>
    </r>
    <r>
      <rPr>
        <b/>
        <sz val="16"/>
        <color rgb="FF00B050"/>
        <rFont val="Calibri"/>
        <family val="2"/>
      </rPr>
      <t>C</t>
    </r>
    <r>
      <rPr>
        <sz val="16"/>
        <color theme="1"/>
        <rFont val="Calibri"/>
        <family val="2"/>
      </rPr>
      <t xml:space="preserve">, </t>
    </r>
    <r>
      <rPr>
        <b/>
        <sz val="16"/>
        <color rgb="FF00B050"/>
        <rFont val="Calibri"/>
        <family val="2"/>
      </rPr>
      <t>D</t>
    </r>
  </si>
  <si>
    <r>
      <t>·</t>
    </r>
    <r>
      <rPr>
        <sz val="16"/>
        <rFont val="Times New Roman"/>
        <family val="1"/>
      </rPr>
      <t>        </t>
    </r>
    <r>
      <rPr>
        <b/>
        <u/>
        <sz val="16"/>
        <color indexed="10"/>
        <rFont val="Calibri"/>
        <family val="2"/>
      </rPr>
      <t>NO</t>
    </r>
    <r>
      <rPr>
        <sz val="16"/>
        <rFont val="Calibri"/>
        <family val="2"/>
      </rPr>
      <t xml:space="preserve"> other characters are acceptable.</t>
    </r>
  </si>
  <si>
    <t>Investor's Title
Max. 10 Characters
CONDITIONAL FIELD</t>
  </si>
  <si>
    <t>Investor's Address Line 2
Max. 40 Characters
CONDITIONAL FIELD</t>
  </si>
  <si>
    <t>Investor's Address Line 3
Max. 40 Characters
CONDITIONAL FIELD</t>
  </si>
  <si>
    <t>Investor's Address Line 4
Max. 40 Characters
CONDITIONAL FIELD</t>
  </si>
  <si>
    <t>Investor's Address Line 5
Max. 40 Characters
CONDITIONAL FIELD</t>
  </si>
  <si>
    <t>Investor's Postcode  
Max. 8 Characters
CONDITIONAL FIELD</t>
  </si>
  <si>
    <t>ISA Manager's Name</t>
  </si>
  <si>
    <t>Investor's Title</t>
  </si>
  <si>
    <t>Investor's Forename(s)</t>
  </si>
  <si>
    <t>Investor's Surname</t>
  </si>
  <si>
    <t>Investor's Address Lines 1 - 5</t>
  </si>
  <si>
    <t xml:space="preserve">Investor's Postcode   </t>
  </si>
  <si>
    <t>ISA Manager Reference</t>
  </si>
  <si>
    <r>
      <t>·</t>
    </r>
    <r>
      <rPr>
        <sz val="16"/>
        <rFont val="Times New Roman"/>
        <family val="1"/>
      </rPr>
      <t xml:space="preserve">         </t>
    </r>
    <r>
      <rPr>
        <sz val="16"/>
        <rFont val="Calibri"/>
        <family val="2"/>
      </rPr>
      <t xml:space="preserve">Data supplied </t>
    </r>
    <r>
      <rPr>
        <b/>
        <u/>
        <sz val="16"/>
        <color rgb="FF00B050"/>
        <rFont val="Calibri"/>
        <family val="2"/>
      </rPr>
      <t>IS</t>
    </r>
    <r>
      <rPr>
        <sz val="16"/>
        <rFont val="Calibri"/>
        <family val="2"/>
      </rPr>
      <t xml:space="preserve"> a valid date.</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</si>
  <si>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numerical characters.</t>
    </r>
    <r>
      <rPr>
        <b/>
        <u/>
        <sz val="16"/>
        <color rgb="FFFF0000"/>
        <rFont val="Calibri"/>
        <family val="2"/>
      </rPr>
      <t/>
    </r>
  </si>
  <si>
    <r>
      <t>·</t>
    </r>
    <r>
      <rPr>
        <sz val="16"/>
        <rFont val="Times New Roman"/>
        <family val="1"/>
      </rPr>
      <t xml:space="preserve">         </t>
    </r>
    <r>
      <rPr>
        <b/>
        <u/>
        <sz val="16"/>
        <color rgb="FFFF0000"/>
        <rFont val="Calibri"/>
        <family val="2"/>
      </rPr>
      <t>NO</t>
    </r>
    <r>
      <rPr>
        <sz val="16"/>
        <rFont val="Calibri"/>
        <family val="2"/>
      </rPr>
      <t xml:space="preserve"> other characters are acceptable.</t>
    </r>
  </si>
  <si>
    <t>GONE AWAY</t>
  </si>
  <si>
    <t>COLUMN AB</t>
  </si>
  <si>
    <r>
      <t xml:space="preserve">SPREADSHEET TEMPLATE ERROR VALIDATION GUIDANCE </t>
    </r>
    <r>
      <rPr>
        <sz val="8"/>
        <rFont val="Calibri"/>
        <family val="2"/>
      </rPr>
      <t>version 2.5</t>
    </r>
  </si>
  <si>
    <t>S</t>
  </si>
  <si>
    <t>T</t>
  </si>
  <si>
    <t>If the ISA is a stocks and shares ISA with investments from a matured CTF account</t>
  </si>
  <si>
    <t>If the ISA is a cash ISA with cash from a matured CTF account</t>
  </si>
  <si>
    <r>
      <rPr>
        <sz val="14"/>
        <rFont val="Wingdings"/>
        <charset val="2"/>
      </rPr>
      <t>v</t>
    </r>
    <r>
      <rPr>
        <b/>
        <sz val="16"/>
        <rFont val="Times New Roman"/>
        <family val="1"/>
      </rPr>
      <t xml:space="preserve">  </t>
    </r>
    <r>
      <rPr>
        <b/>
        <sz val="18"/>
        <rFont val="Calibri"/>
        <family val="2"/>
      </rPr>
      <t xml:space="preserve">All mandatory fields </t>
    </r>
    <r>
      <rPr>
        <b/>
        <u/>
        <sz val="18"/>
        <color indexed="17"/>
        <rFont val="Calibri"/>
        <family val="2"/>
      </rPr>
      <t>MUST</t>
    </r>
    <r>
      <rPr>
        <b/>
        <sz val="18"/>
        <rFont val="Calibri"/>
        <family val="2"/>
      </rPr>
      <t xml:space="preserve"> be completed using the values instructed.</t>
    </r>
  </si>
  <si>
    <r>
      <rPr>
        <sz val="14"/>
        <rFont val="Wingdings"/>
        <charset val="2"/>
      </rPr>
      <t>v</t>
    </r>
    <r>
      <rPr>
        <b/>
        <sz val="16"/>
        <rFont val="Times New Roman"/>
        <family val="1"/>
      </rPr>
      <t xml:space="preserve">  </t>
    </r>
    <r>
      <rPr>
        <b/>
        <sz val="18"/>
        <rFont val="Calibri"/>
        <family val="2"/>
      </rPr>
      <t xml:space="preserve">You </t>
    </r>
    <r>
      <rPr>
        <b/>
        <u/>
        <sz val="18"/>
        <color indexed="17"/>
        <rFont val="Calibri"/>
        <family val="2"/>
      </rPr>
      <t>MUST</t>
    </r>
    <r>
      <rPr>
        <b/>
        <sz val="18"/>
        <color indexed="17"/>
        <rFont val="Calibri"/>
        <family val="2"/>
      </rPr>
      <t xml:space="preserve"> </t>
    </r>
    <r>
      <rPr>
        <b/>
        <sz val="18"/>
        <color theme="1"/>
        <rFont val="Calibri"/>
        <family val="2"/>
      </rPr>
      <t>complete conditional fields</t>
    </r>
    <r>
      <rPr>
        <b/>
        <sz val="18"/>
        <color indexed="17"/>
        <rFont val="Calibri"/>
        <family val="2"/>
      </rPr>
      <t xml:space="preserve"> </t>
    </r>
    <r>
      <rPr>
        <b/>
        <u/>
        <sz val="18"/>
        <color indexed="17"/>
        <rFont val="Calibri"/>
        <family val="2"/>
      </rPr>
      <t>ONLY</t>
    </r>
    <r>
      <rPr>
        <b/>
        <sz val="18"/>
        <rFont val="Calibri"/>
        <family val="2"/>
      </rPr>
      <t xml:space="preserve"> where the conditions stated apply.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</si>
</sst>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0"/>
      <name val="Arial"/>
    </font>
    <font>
      <sz val="8"/>
      <name val="Arial"/>
      <family val="2"/>
    </font>
    <font>
      <sz val="11"/>
      <name val="Arial"/>
      <family val="2"/>
    </font>
    <font>
      <sz val="11"/>
      <name val="Calibri"/>
      <family val="2"/>
    </font>
    <font>
      <b/>
      <sz val="18"/>
      <name val="Calibri"/>
      <family val="2"/>
    </font>
    <font>
      <b/>
      <sz val="14"/>
      <name val="Calibri"/>
      <family val="2"/>
    </font>
    <font>
      <b/>
      <sz val="28"/>
      <name val="Calibri"/>
      <family val="2"/>
    </font>
    <font>
      <sz val="8"/>
      <name val="Calibri"/>
      <family val="2"/>
    </font>
    <font>
      <u/>
      <sz val="10"/>
      <color theme="10"/>
      <name val="Arial"/>
      <family val="2"/>
    </font>
    <font>
      <b/>
      <sz val="10"/>
      <color theme="0"/>
      <name val="Arial"/>
      <family val="2"/>
    </font>
    <font>
      <sz val="14"/>
      <name val="Wingdings"/>
      <charset val="2"/>
    </font>
    <font>
      <sz val="14"/>
      <name val="Times New Roman"/>
      <family val="1"/>
    </font>
    <font>
      <sz val="14"/>
      <name val="Calibri"/>
      <family val="2"/>
    </font>
    <font>
      <b/>
      <u/>
      <sz val="14"/>
      <color indexed="30"/>
      <name val="Calibri"/>
      <family val="2"/>
    </font>
    <font>
      <b/>
      <sz val="14"/>
      <color theme="8"/>
      <name val="Calibri"/>
      <family val="2"/>
    </font>
    <font>
      <vertAlign val="superscript"/>
      <sz val="14"/>
      <name val="Calibri"/>
      <family val="2"/>
    </font>
    <font>
      <sz val="14"/>
      <color indexed="8"/>
      <name val="Calibri"/>
      <family val="2"/>
    </font>
    <font>
      <b/>
      <u/>
      <sz val="14"/>
      <color indexed="10"/>
      <name val="Calibri"/>
      <family val="2"/>
    </font>
    <font>
      <b/>
      <u/>
      <sz val="14"/>
      <color rgb="FFFF0000"/>
      <name val="Calibri"/>
      <family val="2"/>
    </font>
    <font>
      <b/>
      <sz val="14"/>
      <color rgb="FFFF0000"/>
      <name val="Calibri"/>
      <family val="2"/>
    </font>
    <font>
      <b/>
      <u/>
      <sz val="22"/>
      <name val="Calibri"/>
      <family val="2"/>
    </font>
    <font>
      <b/>
      <u/>
      <sz val="16"/>
      <color rgb="FF0070C0"/>
      <name val="Calibri"/>
      <family val="2"/>
    </font>
    <font>
      <sz val="16"/>
      <name val="Arial"/>
      <family val="2"/>
    </font>
    <font>
      <sz val="16"/>
      <name val="Calibri"/>
      <family val="2"/>
    </font>
    <font>
      <sz val="16"/>
      <name val="Symbol"/>
      <family val="1"/>
      <charset val="2"/>
    </font>
    <font>
      <sz val="16"/>
      <name val="Times New Roman"/>
      <family val="1"/>
    </font>
    <font>
      <b/>
      <u/>
      <sz val="16"/>
      <color indexed="17"/>
      <name val="Calibri"/>
      <family val="2"/>
    </font>
    <font>
      <b/>
      <sz val="16"/>
      <name val="Calibri"/>
      <family val="2"/>
    </font>
    <font>
      <b/>
      <sz val="16"/>
      <color rgb="FFFF0000"/>
      <name val="Calibri"/>
      <family val="2"/>
    </font>
    <font>
      <b/>
      <u/>
      <sz val="16"/>
      <color indexed="10"/>
      <name val="Calibri"/>
      <family val="2"/>
    </font>
    <font>
      <b/>
      <sz val="16"/>
      <color indexed="30"/>
      <name val="Calibri"/>
      <family val="2"/>
    </font>
    <font>
      <b/>
      <u/>
      <sz val="16"/>
      <color rgb="FF00B050"/>
      <name val="Calibri"/>
      <family val="2"/>
    </font>
    <font>
      <sz val="16"/>
      <color theme="1"/>
      <name val="Calibri"/>
      <family val="2"/>
    </font>
    <font>
      <b/>
      <sz val="12"/>
      <name val="Calibri"/>
      <family val="2"/>
    </font>
    <font>
      <b/>
      <sz val="12"/>
      <color rgb="FFFF0000"/>
      <name val="Calibri"/>
      <family val="2"/>
    </font>
    <font>
      <b/>
      <sz val="14"/>
      <name val="Arial"/>
      <family val="2"/>
    </font>
    <font>
      <sz val="14"/>
      <name val="Arial"/>
      <family val="2"/>
    </font>
    <font>
      <b/>
      <u/>
      <sz val="16"/>
      <color rgb="FFFF0000"/>
      <name val="Calibri"/>
      <family val="2"/>
    </font>
    <font>
      <b/>
      <sz val="12"/>
      <color theme="0"/>
      <name val="Arial"/>
      <family val="2"/>
    </font>
    <font>
      <b/>
      <sz val="10"/>
      <name val="Arial"/>
      <family val="2"/>
    </font>
    <font>
      <b/>
      <sz val="16"/>
      <name val="Wingdings"/>
      <charset val="2"/>
    </font>
    <font>
      <b/>
      <sz val="16"/>
      <name val="Times New Roman"/>
      <family val="1"/>
    </font>
    <font>
      <b/>
      <u/>
      <sz val="18"/>
      <color indexed="17"/>
      <name val="Calibri"/>
      <family val="2"/>
    </font>
    <font>
      <b/>
      <sz val="18"/>
      <color indexed="17"/>
      <name val="Calibri"/>
      <family val="2"/>
    </font>
    <font>
      <b/>
      <sz val="18"/>
      <color theme="1"/>
      <name val="Calibri"/>
      <family val="2"/>
    </font>
    <font>
      <sz val="10"/>
      <color theme="0"/>
      <name val="Arial"/>
      <family val="2"/>
    </font>
    <font>
      <b/>
      <u/>
      <sz val="14"/>
      <color indexed="17"/>
      <name val="Calibri"/>
      <family val="2"/>
    </font>
    <font>
      <b/>
      <u/>
      <sz val="14"/>
      <color indexed="57"/>
      <name val="Calibri"/>
      <family val="2"/>
    </font>
    <font>
      <b/>
      <sz val="16"/>
      <color indexed="10"/>
      <name val="Calibri"/>
      <family val="2"/>
    </font>
    <font>
      <b/>
      <sz val="16"/>
      <color rgb="FF00B050"/>
      <name val="Calibri"/>
      <family val="2"/>
    </font>
    <font>
      <sz val="16"/>
      <name val="Calibri"/>
      <family val="2"/>
      <scheme val="minor"/>
    </font>
    <font>
      <b/>
      <sz val="16"/>
      <color rgb="FF0070C0"/>
      <name val="Calibri"/>
      <family val="2"/>
      <scheme val="minor"/>
    </font>
    <font>
      <b/>
      <u/>
      <sz val="16"/>
      <color rgb="FFFF0000"/>
      <name val="Calibri"/>
      <family val="2"/>
      <scheme val="minor"/>
    </font>
    <font>
      <b/>
      <sz val="16"/>
      <color rgb="FF0070C0"/>
      <name val="Calibri"/>
      <family val="2"/>
    </font>
  </fonts>
  <fills count="5">
    <fill>
      <patternFill patternType="none"/>
    </fill>
    <fill>
      <patternFill patternType="gray125"/>
    </fill>
    <fill>
      <patternFill patternType="solid">
        <fgColor theme="9" tint="0.59999389629810485"/>
        <bgColor indexed="64"/>
      </patternFill>
    </fill>
    <fill>
      <patternFill patternType="solid">
        <fgColor theme="0" tint="-0.499984740745262"/>
        <bgColor indexed="64"/>
      </patternFill>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s>
  <cellStyleXfs count="2">
    <xf numFmtId="0" fontId="0" fillId="0" borderId="0"/>
    <xf numFmtId="0" fontId="8" fillId="0" borderId="0" applyNumberFormat="0" applyFill="0" applyBorder="0" applyAlignment="0" applyProtection="0"/>
  </cellStyleXfs>
  <cellXfs count="53">
    <xf numFmtId="0" fontId="0" fillId="0" borderId="0" xfId="0"/>
    <xf numFmtId="49" fontId="0" fillId="0" borderId="0" xfId="0" applyNumberFormat="1" applyAlignment="1">
      <alignment horizontal="left"/>
    </xf>
    <xf numFmtId="49" fontId="0" fillId="0" borderId="0" xfId="0" applyNumberFormat="1"/>
    <xf numFmtId="49" fontId="3" fillId="0" borderId="0" xfId="0" applyNumberFormat="1" applyFont="1" applyAlignment="1">
      <alignment horizontal="left" vertical="center"/>
    </xf>
    <xf numFmtId="49" fontId="5" fillId="0" borderId="0" xfId="0" applyNumberFormat="1" applyFont="1" applyAlignment="1">
      <alignment horizontal="left" vertical="center"/>
    </xf>
    <xf numFmtId="49" fontId="6" fillId="0" borderId="0" xfId="0" applyNumberFormat="1" applyFont="1" applyAlignment="1">
      <alignment horizontal="left" vertical="center"/>
    </xf>
    <xf numFmtId="49" fontId="2" fillId="0" borderId="0" xfId="0" applyNumberFormat="1" applyFont="1" applyBorder="1" applyAlignment="1" applyProtection="1">
      <alignment horizontal="left" wrapText="1"/>
      <protection locked="0"/>
    </xf>
    <xf numFmtId="0" fontId="9" fillId="4" borderId="3" xfId="0" applyNumberFormat="1" applyFont="1" applyFill="1" applyBorder="1" applyAlignment="1" applyProtection="1">
      <alignment horizontal="left" vertical="top" wrapText="1"/>
      <protection hidden="1"/>
    </xf>
    <xf numFmtId="49" fontId="2" fillId="0" borderId="3" xfId="0" applyNumberFormat="1" applyFont="1" applyBorder="1" applyAlignment="1" applyProtection="1">
      <alignment horizontal="left" wrapText="1"/>
      <protection locked="0"/>
    </xf>
    <xf numFmtId="0" fontId="9" fillId="4" borderId="5" xfId="0" applyNumberFormat="1" applyFont="1" applyFill="1" applyBorder="1" applyAlignment="1" applyProtection="1">
      <alignment horizontal="left" vertical="top" wrapText="1" indent="15"/>
      <protection hidden="1"/>
    </xf>
    <xf numFmtId="0" fontId="9" fillId="4" borderId="5" xfId="0" applyNumberFormat="1" applyFont="1" applyFill="1" applyBorder="1" applyAlignment="1" applyProtection="1">
      <alignment horizontal="left" vertical="top" wrapText="1"/>
      <protection hidden="1"/>
    </xf>
    <xf numFmtId="0" fontId="9" fillId="4" borderId="5" xfId="0" applyFont="1" applyFill="1" applyBorder="1" applyAlignment="1" applyProtection="1">
      <alignment horizontal="left" vertical="top" wrapText="1"/>
      <protection hidden="1"/>
    </xf>
    <xf numFmtId="49" fontId="2" fillId="0" borderId="0" xfId="1" applyNumberFormat="1" applyFont="1" applyBorder="1" applyAlignment="1" applyProtection="1">
      <alignment horizontal="left" wrapText="1"/>
      <protection locked="0"/>
    </xf>
    <xf numFmtId="49" fontId="10" fillId="0" borderId="0" xfId="0" applyNumberFormat="1" applyFont="1" applyFill="1" applyAlignment="1">
      <alignment horizontal="left" vertical="center" indent="4"/>
    </xf>
    <xf numFmtId="49" fontId="20" fillId="0" borderId="0" xfId="0" applyNumberFormat="1" applyFont="1" applyAlignment="1">
      <alignment horizontal="left" vertical="center"/>
    </xf>
    <xf numFmtId="49" fontId="21" fillId="0" borderId="0" xfId="0" applyNumberFormat="1" applyFont="1" applyAlignment="1">
      <alignment horizontal="left" vertical="center"/>
    </xf>
    <xf numFmtId="49" fontId="22" fillId="0" borderId="0" xfId="0" applyNumberFormat="1" applyFont="1"/>
    <xf numFmtId="49" fontId="23" fillId="0" borderId="0" xfId="0" applyNumberFormat="1" applyFont="1" applyAlignment="1">
      <alignment horizontal="left" vertical="center"/>
    </xf>
    <xf numFmtId="49" fontId="24" fillId="0" borderId="0" xfId="0" applyNumberFormat="1" applyFont="1" applyAlignment="1">
      <alignment horizontal="left" vertical="center" indent="4"/>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49" fontId="22" fillId="0" borderId="0" xfId="0" applyNumberFormat="1" applyFont="1" applyAlignment="1">
      <alignment horizontal="left" vertical="center" indent="1"/>
    </xf>
    <xf numFmtId="49" fontId="3" fillId="0" borderId="0" xfId="0" applyNumberFormat="1" applyFont="1" applyAlignment="1">
      <alignment horizontal="left" vertical="center" indent="4"/>
    </xf>
    <xf numFmtId="49" fontId="33" fillId="2" borderId="1" xfId="0" applyNumberFormat="1" applyFont="1" applyFill="1" applyBorder="1" applyAlignment="1">
      <alignment horizontal="center" vertical="center" wrapText="1"/>
    </xf>
    <xf numFmtId="49" fontId="33" fillId="2" borderId="4" xfId="0" applyNumberFormat="1" applyFont="1" applyFill="1" applyBorder="1" applyAlignment="1">
      <alignment horizontal="center" vertical="center" wrapText="1"/>
    </xf>
    <xf numFmtId="49" fontId="34" fillId="0" borderId="0" xfId="0" applyNumberFormat="1" applyFont="1" applyAlignment="1">
      <alignment horizontal="left" vertical="center"/>
    </xf>
    <xf numFmtId="49" fontId="5" fillId="2" borderId="1" xfId="0" applyNumberFormat="1" applyFont="1" applyFill="1" applyBorder="1" applyAlignment="1">
      <alignment horizontal="center" vertical="center" wrapText="1"/>
    </xf>
    <xf numFmtId="49" fontId="33" fillId="0" borderId="0" xfId="0" applyNumberFormat="1" applyFont="1" applyAlignment="1">
      <alignment horizontal="left" vertical="center"/>
    </xf>
    <xf numFmtId="0" fontId="38" fillId="4" borderId="0" xfId="0" applyNumberFormat="1" applyFont="1" applyFill="1" applyAlignment="1"/>
    <xf numFmtId="0" fontId="38" fillId="4" borderId="0" xfId="0" applyNumberFormat="1" applyFont="1" applyFill="1" applyAlignment="1">
      <alignment vertical="center"/>
    </xf>
    <xf numFmtId="0" fontId="39" fillId="2" borderId="1" xfId="0" applyNumberFormat="1" applyFont="1" applyFill="1" applyBorder="1" applyAlignment="1" applyProtection="1">
      <alignment horizontal="center" vertical="center" wrapText="1"/>
      <protection hidden="1"/>
    </xf>
    <xf numFmtId="0" fontId="39" fillId="2" borderId="2" xfId="0" applyNumberFormat="1" applyFont="1" applyFill="1" applyBorder="1" applyAlignment="1" applyProtection="1">
      <alignment horizontal="center" vertical="center" wrapText="1"/>
      <protection hidden="1"/>
    </xf>
    <xf numFmtId="0" fontId="39" fillId="2" borderId="4" xfId="0" applyNumberFormat="1" applyFont="1" applyFill="1" applyBorder="1" applyAlignment="1" applyProtection="1">
      <alignment horizontal="center" vertical="center" wrapText="1"/>
      <protection hidden="1"/>
    </xf>
    <xf numFmtId="49" fontId="40" fillId="0" borderId="0" xfId="0" applyNumberFormat="1" applyFont="1" applyAlignment="1">
      <alignment horizontal="left" vertical="center" indent="4"/>
    </xf>
    <xf numFmtId="0" fontId="45" fillId="4" borderId="0" xfId="0" applyNumberFormat="1" applyFont="1" applyFill="1" applyAlignment="1">
      <alignment horizontal="left"/>
    </xf>
    <xf numFmtId="49" fontId="10" fillId="0" borderId="0" xfId="0" applyNumberFormat="1" applyFont="1" applyAlignment="1">
      <alignment horizontal="left" vertical="center" indent="4"/>
    </xf>
    <xf numFmtId="49" fontId="5" fillId="0" borderId="0" xfId="0" applyNumberFormat="1" applyFont="1" applyAlignment="1">
      <alignment horizontal="left" vertical="center" indent="4"/>
    </xf>
    <xf numFmtId="49" fontId="12" fillId="0" borderId="0" xfId="0" applyNumberFormat="1" applyFont="1" applyAlignment="1">
      <alignment horizontal="left" vertical="center" indent="4"/>
    </xf>
    <xf numFmtId="49" fontId="4" fillId="0" borderId="0" xfId="0" applyNumberFormat="1" applyFont="1" applyFill="1" applyAlignment="1">
      <alignment horizontal="left" vertical="center"/>
    </xf>
    <xf numFmtId="49" fontId="0" fillId="0" borderId="0" xfId="0" applyNumberFormat="1" applyProtection="1">
      <protection locked="0"/>
    </xf>
    <xf numFmtId="49" fontId="2" fillId="3" borderId="0" xfId="0" applyNumberFormat="1" applyFont="1" applyFill="1" applyBorder="1" applyAlignment="1" applyProtection="1">
      <alignment horizontal="left" wrapText="1"/>
      <protection locked="0"/>
    </xf>
    <xf numFmtId="49" fontId="2" fillId="0" borderId="0" xfId="0" applyNumberFormat="1" applyFont="1" applyFill="1" applyProtection="1">
      <protection locked="0"/>
    </xf>
    <xf numFmtId="0" fontId="9" fillId="0" borderId="8" xfId="0" applyNumberFormat="1" applyFont="1" applyFill="1" applyBorder="1" applyAlignment="1" applyProtection="1">
      <alignment horizontal="left" vertical="top" wrapText="1"/>
    </xf>
    <xf numFmtId="0" fontId="0" fillId="0" borderId="0" xfId="0" applyAlignment="1">
      <alignment wrapText="1"/>
    </xf>
    <xf numFmtId="0" fontId="0" fillId="0" borderId="8" xfId="0" applyBorder="1" applyAlignment="1">
      <alignment wrapText="1"/>
    </xf>
    <xf numFmtId="1" fontId="2" fillId="0" borderId="0" xfId="0" applyNumberFormat="1" applyFont="1" applyFill="1" applyBorder="1" applyAlignment="1" applyProtection="1">
      <alignment horizontal="left"/>
      <protection locked="0"/>
    </xf>
    <xf numFmtId="1" fontId="2" fillId="0" borderId="0" xfId="0" applyNumberFormat="1" applyFont="1" applyBorder="1" applyAlignment="1" applyProtection="1">
      <alignment horizontal="left" wrapText="1"/>
      <protection locked="0"/>
    </xf>
    <xf numFmtId="1" fontId="2" fillId="0" borderId="6" xfId="0" applyNumberFormat="1" applyFont="1" applyBorder="1" applyAlignment="1" applyProtection="1">
      <alignment horizontal="left" wrapText="1"/>
      <protection locked="0"/>
    </xf>
    <xf numFmtId="49" fontId="5" fillId="2" borderId="2" xfId="0" applyNumberFormat="1" applyFont="1" applyFill="1" applyBorder="1" applyAlignment="1">
      <alignment horizontal="left" vertical="center" wrapText="1" indent="1"/>
    </xf>
    <xf numFmtId="0" fontId="35" fillId="2" borderId="7" xfId="0" applyFont="1" applyFill="1" applyBorder="1" applyAlignment="1">
      <alignment horizontal="left" vertical="center" wrapText="1" indent="1"/>
    </xf>
    <xf numFmtId="0" fontId="36" fillId="0" borderId="4" xfId="0" applyFont="1" applyBorder="1" applyAlignment="1">
      <alignment horizontal="left" vertical="center" wrapText="1" indent="1"/>
    </xf>
    <xf numFmtId="0" fontId="36" fillId="0" borderId="7" xfId="0" applyFont="1" applyBorder="1" applyAlignment="1">
      <alignment horizontal="left" wrapText="1" indent="1"/>
    </xf>
    <xf numFmtId="0" fontId="36" fillId="0" borderId="4" xfId="0" applyFont="1" applyBorder="1" applyAlignment="1">
      <alignment horizontal="left" wrapText="1" indent="1"/>
    </xf>
  </cellXfs>
  <cellStyles count="2">
    <cellStyle name="Hyperlink" xfId="1" builtinId="8"/>
    <cellStyle name="Normal" xfId="0" builtinId="0"/>
  </cellStyles>
  <dxfs count="36">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s>
  <tableStyles count="0" defaultTableStyle="TableStyleMedium2" defaultPivotStyle="PivotStyleLight16"/>
  <colors>
    <mruColors>
      <color rgb="FFFAFA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1704975</xdr:colOff>
      <xdr:row>0</xdr:row>
      <xdr:rowOff>1000125</xdr:rowOff>
    </xdr:to>
    <xdr:pic>
      <xdr:nvPicPr>
        <xdr:cNvPr id="1965" name="Picture 3">
          <a:extLst>
            <a:ext uri="{FF2B5EF4-FFF2-40B4-BE49-F238E27FC236}">
              <a16:creationId xmlns:a16="http://schemas.microsoft.com/office/drawing/2014/main" id="{00000000-0008-0000-0000-0000AD0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180975</xdr:colOff>
      <xdr:row>0</xdr:row>
      <xdr:rowOff>1390650</xdr:rowOff>
    </xdr:from>
    <xdr:to>
      <xdr:col>0</xdr:col>
      <xdr:colOff>2600325</xdr:colOff>
      <xdr:row>0</xdr:row>
      <xdr:rowOff>3457576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80975" y="1390650"/>
          <a:ext cx="2419350" cy="206692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ISA Manager Reference</a:t>
          </a:r>
        </a:p>
        <a:p>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 Column A  </a:t>
          </a:r>
          <a:endParaRPr lang="en-GB" sz="900" b="1">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other rows for </a:t>
          </a:r>
          <a:r>
            <a:rPr lang="en-GB" sz="900" b="1">
              <a:solidFill>
                <a:schemeClr val="tx1"/>
              </a:solidFill>
              <a:latin typeface="Arial" panose="020B0604020202020204" pitchFamily="34" charset="0"/>
              <a:cs typeface="Arial" panose="020B0604020202020204" pitchFamily="34" charset="0"/>
            </a:rPr>
            <a:t>Column A</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full ISA Manager reference </a:t>
          </a:r>
        </a:p>
        <a:p>
          <a:r>
            <a:rPr lang="en-GB" sz="900" b="1">
              <a:solidFill>
                <a:schemeClr val="tx1"/>
              </a:solidFill>
              <a:latin typeface="Arial" panose="020B0604020202020204" pitchFamily="34" charset="0"/>
              <a:cs typeface="Arial" panose="020B0604020202020204" pitchFamily="34" charset="0"/>
            </a:rPr>
            <a:t>(including sub reference) provided to you by HMRC for the purposes of submitting your return of information</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Reference 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a:t>
          </a:r>
          <a:r>
            <a:rPr lang="en-GB" sz="900" b="1"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ZNNNN/NN e.g. Z0000/01</a:t>
          </a:r>
        </a:p>
        <a:p>
          <a:endParaRPr lang="en-GB" sz="900" b="1">
            <a:solidFill>
              <a:schemeClr val="tx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900" b="1">
              <a:solidFill>
                <a:schemeClr val="tx1"/>
              </a:solidFill>
              <a:effectLst/>
              <a:latin typeface="Arial" panose="020B0604020202020204" pitchFamily="34" charset="0"/>
              <a:ea typeface="+mn-ea"/>
              <a:cs typeface="Arial" panose="020B0604020202020204" pitchFamily="34" charset="0"/>
            </a:rPr>
            <a:t>Your reference </a:t>
          </a:r>
          <a:r>
            <a:rPr lang="en-GB" sz="900" b="1" u="sng">
              <a:solidFill>
                <a:schemeClr val="tx1"/>
              </a:solidFill>
              <a:effectLst/>
              <a:latin typeface="Arial" panose="020B0604020202020204" pitchFamily="34" charset="0"/>
              <a:ea typeface="+mn-ea"/>
              <a:cs typeface="Arial" panose="020B0604020202020204" pitchFamily="34" charset="0"/>
            </a:rPr>
            <a:t>MUST</a:t>
          </a:r>
          <a:r>
            <a:rPr lang="en-GB" sz="900" b="1">
              <a:solidFill>
                <a:schemeClr val="tx1"/>
              </a:solidFill>
              <a:effectLst/>
              <a:latin typeface="Arial" panose="020B0604020202020204" pitchFamily="34" charset="0"/>
              <a:ea typeface="+mn-ea"/>
              <a:cs typeface="Arial" panose="020B0604020202020204" pitchFamily="34" charset="0"/>
            </a:rPr>
            <a:t> always start with a Z</a:t>
          </a:r>
          <a:endParaRPr lang="en-GB" sz="900" b="1">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xdr:txBody>
    </xdr:sp>
    <xdr:clientData/>
  </xdr:twoCellAnchor>
  <xdr:twoCellAnchor>
    <xdr:from>
      <xdr:col>1</xdr:col>
      <xdr:colOff>652458</xdr:colOff>
      <xdr:row>0</xdr:row>
      <xdr:rowOff>1895475</xdr:rowOff>
    </xdr:from>
    <xdr:to>
      <xdr:col>1</xdr:col>
      <xdr:colOff>4471983</xdr:colOff>
      <xdr:row>0</xdr:row>
      <xdr:rowOff>3457573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633783" y="1895475"/>
          <a:ext cx="3819525" cy="1562098"/>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ISA Manager's Name</a:t>
          </a:r>
        </a:p>
        <a:p>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 Column B  </a:t>
          </a:r>
          <a:endParaRPr lang="en-GB" sz="900">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other rows for </a:t>
          </a:r>
          <a:r>
            <a:rPr lang="en-GB" sz="900" b="1">
              <a:solidFill>
                <a:schemeClr val="tx1"/>
              </a:solidFill>
              <a:latin typeface="Arial" panose="020B0604020202020204" pitchFamily="34" charset="0"/>
              <a:cs typeface="Arial" panose="020B0604020202020204" pitchFamily="34" charset="0"/>
            </a:rPr>
            <a:t>Column B</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legal name of the ISA manager who has received approval</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insert any ISA manager trading names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insert the name of the individual who provided the return information here</a:t>
          </a:r>
        </a:p>
      </xdr:txBody>
    </xdr:sp>
    <xdr:clientData/>
  </xdr:twoCellAnchor>
  <xdr:twoCellAnchor>
    <xdr:from>
      <xdr:col>2</xdr:col>
      <xdr:colOff>190505</xdr:colOff>
      <xdr:row>0</xdr:row>
      <xdr:rowOff>1390650</xdr:rowOff>
    </xdr:from>
    <xdr:to>
      <xdr:col>2</xdr:col>
      <xdr:colOff>1628780</xdr:colOff>
      <xdr:row>0</xdr:row>
      <xdr:rowOff>3457574</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224843" y="1390650"/>
          <a:ext cx="1438275" cy="206692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Tax Year</a:t>
          </a:r>
        </a:p>
        <a:p>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a:t>
          </a:r>
          <a:r>
            <a:rPr lang="en-GB" sz="900" b="1">
              <a:solidFill>
                <a:schemeClr val="tx1"/>
              </a:solidFill>
              <a:latin typeface="Arial" panose="020B0604020202020204" pitchFamily="34" charset="0"/>
              <a:cs typeface="Arial" panose="020B0604020202020204" pitchFamily="34" charset="0"/>
            </a:rPr>
            <a:t> Column C</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a:t>
          </a:r>
          <a:r>
            <a:rPr lang="en-GB" sz="900" b="1">
              <a:solidFill>
                <a:schemeClr val="tx1"/>
              </a:solidFill>
              <a:latin typeface="Arial" panose="020B0604020202020204" pitchFamily="34" charset="0"/>
              <a:cs typeface="Arial" panose="020B0604020202020204" pitchFamily="34" charset="0"/>
            </a:rPr>
            <a:t>other rows for Column C</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Year 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YYYY e.g</a:t>
          </a:r>
          <a:r>
            <a:rPr lang="en-GB" sz="900" b="1">
              <a:latin typeface="Arial" panose="020B0604020202020204" pitchFamily="34" charset="0"/>
              <a:cs typeface="Arial" panose="020B0604020202020204" pitchFamily="34" charset="0"/>
            </a:rPr>
            <a:t>. 2019</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latter year in relation to your reported tax year e.g. 2018/2019 tax year period would be 2019</a:t>
          </a:r>
        </a:p>
      </xdr:txBody>
    </xdr:sp>
    <xdr:clientData/>
  </xdr:twoCellAnchor>
  <xdr:twoCellAnchor>
    <xdr:from>
      <xdr:col>3</xdr:col>
      <xdr:colOff>323857</xdr:colOff>
      <xdr:row>0</xdr:row>
      <xdr:rowOff>2038350</xdr:rowOff>
    </xdr:from>
    <xdr:to>
      <xdr:col>3</xdr:col>
      <xdr:colOff>1895482</xdr:colOff>
      <xdr:row>0</xdr:row>
      <xdr:rowOff>3457575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0196520" y="2038350"/>
          <a:ext cx="1571625" cy="14192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ISA/JISA Account Number</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investor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account number allocated to the ISA/JISA</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entries such 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4</xdr:col>
      <xdr:colOff>128590</xdr:colOff>
      <xdr:row>0</xdr:row>
      <xdr:rowOff>466725</xdr:rowOff>
    </xdr:from>
    <xdr:to>
      <xdr:col>4</xdr:col>
      <xdr:colOff>2776540</xdr:colOff>
      <xdr:row>0</xdr:row>
      <xdr:rowOff>3457574</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2196765" y="466725"/>
          <a:ext cx="2647950" cy="2990849"/>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ISA/JISA Type</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latin typeface="Arial" panose="020B0604020202020204" pitchFamily="34" charset="0"/>
              <a:cs typeface="Arial" panose="020B0604020202020204" pitchFamily="34" charset="0"/>
            </a:rPr>
            <a:t> be completed for every reported investor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Where there have been </a:t>
          </a:r>
          <a:r>
            <a:rPr lang="en-GB" sz="900" b="1" u="none">
              <a:solidFill>
                <a:schemeClr val="tx1"/>
              </a:solidFill>
              <a:latin typeface="Arial" panose="020B0604020202020204" pitchFamily="34" charset="0"/>
              <a:cs typeface="Arial" panose="020B0604020202020204" pitchFamily="34" charset="0"/>
            </a:rPr>
            <a:t>no</a:t>
          </a:r>
          <a:r>
            <a:rPr lang="en-GB" sz="900" b="1">
              <a:latin typeface="Arial" panose="020B0604020202020204" pitchFamily="34" charset="0"/>
              <a:cs typeface="Arial" panose="020B0604020202020204" pitchFamily="34" charset="0"/>
            </a:rPr>
            <a:t> subscriptions within the tax year, or the current year subscriptions have been transferred out in the year, insert the appropriate</a:t>
          </a:r>
          <a:r>
            <a:rPr lang="en-GB" sz="900" b="1">
              <a:solidFill>
                <a:schemeClr val="tx1"/>
              </a:solidFill>
              <a:latin typeface="Arial" panose="020B0604020202020204" pitchFamily="34" charset="0"/>
              <a:cs typeface="Arial" panose="020B0604020202020204" pitchFamily="34" charset="0"/>
            </a:rPr>
            <a:t> type code: X, Y or Z</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Where there has been a subscription in the year and the current year</a:t>
          </a:r>
          <a:r>
            <a:rPr lang="en-GB" sz="900" b="1" baseline="0">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subscriptions have </a:t>
          </a:r>
          <a:r>
            <a:rPr lang="en-GB" sz="900" b="1" u="none">
              <a:solidFill>
                <a:schemeClr val="tx1"/>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been transferred out, insert the appropriate type code: </a:t>
          </a:r>
          <a:r>
            <a:rPr lang="en-GB" sz="900" b="1">
              <a:solidFill>
                <a:schemeClr val="tx1"/>
              </a:solidFill>
              <a:latin typeface="Arial" panose="020B0604020202020204" pitchFamily="34" charset="0"/>
              <a:cs typeface="Arial" panose="020B0604020202020204" pitchFamily="34" charset="0"/>
            </a:rPr>
            <a:t>A, B, C, D, E, F, G  or H</a:t>
          </a:r>
        </a:p>
        <a:p>
          <a:endParaRPr lang="en-GB" sz="900" b="1">
            <a:solidFill>
              <a:schemeClr val="tx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b="1">
              <a:solidFill>
                <a:schemeClr val="tx1"/>
              </a:solidFill>
              <a:latin typeface="Arial" panose="020B0604020202020204" pitchFamily="34" charset="0"/>
              <a:cs typeface="Arial" panose="020B0604020202020204" pitchFamily="34" charset="0"/>
            </a:rPr>
            <a:t>Where</a:t>
          </a:r>
          <a:r>
            <a:rPr lang="en-GB" sz="900" b="1" baseline="0">
              <a:solidFill>
                <a:schemeClr val="tx1"/>
              </a:solidFill>
              <a:latin typeface="Arial" panose="020B0604020202020204" pitchFamily="34" charset="0"/>
              <a:cs typeface="Arial" panose="020B0604020202020204" pitchFamily="34" charset="0"/>
            </a:rPr>
            <a:t> the ISA account represents a matured Child Trust Fund (CTF) account that was opened without instructions from the CTF account holder, </a:t>
          </a: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insert the appropriate type code: S or T</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ISA/JISA type code definitions See Guidance Tab</a:t>
          </a:r>
        </a:p>
      </xdr:txBody>
    </xdr:sp>
    <xdr:clientData/>
  </xdr:twoCellAnchor>
  <xdr:twoCellAnchor>
    <xdr:from>
      <xdr:col>5</xdr:col>
      <xdr:colOff>219077</xdr:colOff>
      <xdr:row>0</xdr:row>
      <xdr:rowOff>1257299</xdr:rowOff>
    </xdr:from>
    <xdr:to>
      <xdr:col>5</xdr:col>
      <xdr:colOff>1633537</xdr:colOff>
      <xdr:row>0</xdr:row>
      <xdr:rowOff>3457574</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187615" y="1257299"/>
          <a:ext cx="1414460" cy="22002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Title</a:t>
          </a:r>
        </a:p>
        <a:p>
          <a:r>
            <a:rPr lang="en-GB" sz="900" b="1">
              <a:latin typeface="Arial" panose="020B0604020202020204" pitchFamily="34" charset="0"/>
              <a:cs typeface="Arial" panose="020B0604020202020204" pitchFamily="34" charset="0"/>
            </a:rPr>
            <a:t>If known</a:t>
          </a:r>
          <a:r>
            <a:rPr lang="en-GB" sz="900" b="1" baseline="0">
              <a:latin typeface="Arial" panose="020B0604020202020204" pitchFamily="34" charset="0"/>
              <a:cs typeface="Arial" panose="020B0604020202020204" pitchFamily="34" charset="0"/>
            </a:rPr>
            <a:t> i</a:t>
          </a:r>
          <a:r>
            <a:rPr lang="en-GB" sz="900" b="1">
              <a:latin typeface="Arial" panose="020B0604020202020204" pitchFamily="34" charset="0"/>
              <a:cs typeface="Arial" panose="020B0604020202020204" pitchFamily="34" charset="0"/>
            </a:rPr>
            <a:t>nsert the appropriate title of the reported investor </a:t>
          </a:r>
        </a:p>
        <a:p>
          <a:r>
            <a:rPr lang="en-GB" sz="900" b="1">
              <a:latin typeface="Arial" panose="020B0604020202020204" pitchFamily="34" charset="0"/>
              <a:cs typeface="Arial" panose="020B0604020202020204" pitchFamily="34" charset="0"/>
            </a:rPr>
            <a:t>e.g. Mr, Mrs, Doctor etc.</a:t>
          </a:r>
        </a:p>
        <a:p>
          <a:endParaRPr lang="en-GB" sz="900" b="1">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900" b="1">
              <a:solidFill>
                <a:schemeClr val="dk1"/>
              </a:solidFill>
              <a:effectLst/>
              <a:latin typeface="Arial" panose="020B0604020202020204" pitchFamily="34" charset="0"/>
              <a:ea typeface="+mn-ea"/>
              <a:cs typeface="Arial" panose="020B0604020202020204" pitchFamily="34" charset="0"/>
            </a:rPr>
            <a:t>Abbreviations</a:t>
          </a:r>
          <a:r>
            <a:rPr lang="en-GB" sz="900" b="1" baseline="0">
              <a:solidFill>
                <a:schemeClr val="dk1"/>
              </a:solidFill>
              <a:effectLst/>
              <a:latin typeface="Arial" panose="020B0604020202020204" pitchFamily="34" charset="0"/>
              <a:ea typeface="+mn-ea"/>
              <a:cs typeface="Arial" panose="020B0604020202020204" pitchFamily="34" charset="0"/>
            </a:rPr>
            <a:t> are acceptable</a:t>
          </a:r>
          <a:endParaRPr lang="en-GB" sz="900" b="1">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as </a:t>
          </a:r>
          <a:r>
            <a:rPr lang="en-GB" sz="900" b="1">
              <a:solidFill>
                <a:schemeClr val="tx1"/>
              </a:solidFill>
              <a:latin typeface="Arial" panose="020B0604020202020204" pitchFamily="34" charset="0"/>
              <a:cs typeface="Arial" panose="020B0604020202020204" pitchFamily="34" charset="0"/>
            </a:rPr>
            <a:t>'Ditto', 'Not Known' or 'See Above'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lang="en-GB" sz="900" b="1" u="none">
              <a:solidFill>
                <a:schemeClr val="tx1"/>
              </a:solidFill>
              <a:latin typeface="Arial" panose="020B0604020202020204" pitchFamily="34" charset="0"/>
              <a:cs typeface="Arial" panose="020B0604020202020204" pitchFamily="34" charset="0"/>
            </a:rPr>
            <a:t>not</a:t>
          </a:r>
          <a:r>
            <a:rPr lang="en-GB" sz="900" b="1">
              <a:solidFill>
                <a:schemeClr val="tx1"/>
              </a:solidFill>
              <a:latin typeface="Arial" panose="020B0604020202020204" pitchFamily="34" charset="0"/>
              <a:cs typeface="Arial" panose="020B0604020202020204" pitchFamily="34" charset="0"/>
            </a:rPr>
            <a:t> known or </a:t>
          </a:r>
          <a:r>
            <a:rPr lang="en-GB" sz="900" b="1" u="none">
              <a:solidFill>
                <a:schemeClr val="tx1"/>
              </a:solidFill>
              <a:latin typeface="Arial" panose="020B0604020202020204" pitchFamily="34" charset="0"/>
              <a:cs typeface="Arial" panose="020B0604020202020204" pitchFamily="34" charset="0"/>
            </a:rPr>
            <a:t>not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applicable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6</xdr:col>
      <xdr:colOff>490537</xdr:colOff>
      <xdr:row>0</xdr:row>
      <xdr:rowOff>2047875</xdr:rowOff>
    </xdr:from>
    <xdr:to>
      <xdr:col>6</xdr:col>
      <xdr:colOff>3833812</xdr:colOff>
      <xdr:row>0</xdr:row>
      <xdr:rowOff>3457574</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7297400" y="2047875"/>
          <a:ext cx="3343275" cy="1409699"/>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Forename(s)</a:t>
          </a:r>
        </a:p>
        <a:p>
          <a:r>
            <a:rPr lang="en-GB" sz="900" b="1">
              <a:latin typeface="Arial" panose="020B0604020202020204" pitchFamily="34" charset="0"/>
              <a:cs typeface="Arial" panose="020B0604020202020204" pitchFamily="34" charset="0"/>
            </a:rPr>
            <a:t>This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completed for every reported investor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full forename(s) of the reported investor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applicable include middle names/initials with appropriate spacing</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t>
          </a:r>
          <a:r>
            <a:rPr lang="en-GB" sz="900" b="1">
              <a:solidFill>
                <a:schemeClr val="tx1"/>
              </a:solidFill>
              <a:latin typeface="Arial" panose="020B0604020202020204" pitchFamily="34" charset="0"/>
              <a:cs typeface="Arial" panose="020B0604020202020204" pitchFamily="34" charset="0"/>
            </a:rPr>
            <a:t>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7</xdr:col>
      <xdr:colOff>661984</xdr:colOff>
      <xdr:row>0</xdr:row>
      <xdr:rowOff>2438400</xdr:rowOff>
    </xdr:from>
    <xdr:to>
      <xdr:col>7</xdr:col>
      <xdr:colOff>3748084</xdr:colOff>
      <xdr:row>0</xdr:row>
      <xdr:rowOff>3457574</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1807484" y="2438400"/>
          <a:ext cx="3086100" cy="101917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Surname</a:t>
          </a:r>
        </a:p>
        <a:p>
          <a:r>
            <a:rPr lang="en-GB" sz="900" b="1">
              <a:latin typeface="Arial" panose="020B0604020202020204" pitchFamily="34" charset="0"/>
              <a:cs typeface="Arial" panose="020B0604020202020204" pitchFamily="34" charset="0"/>
            </a:rPr>
            <a:t>This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completed for every reported investor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full surname of the reported investor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a:t>
          </a:r>
          <a:r>
            <a:rPr lang="en-GB" sz="900" b="1">
              <a:solidFill>
                <a:schemeClr val="tx1"/>
              </a:solidFill>
              <a:latin typeface="Arial" panose="020B0604020202020204" pitchFamily="34" charset="0"/>
              <a:cs typeface="Arial" panose="020B0604020202020204" pitchFamily="34" charset="0"/>
            </a:rPr>
            <a:t>such 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8</xdr:col>
      <xdr:colOff>195269</xdr:colOff>
      <xdr:row>0</xdr:row>
      <xdr:rowOff>876300</xdr:rowOff>
    </xdr:from>
    <xdr:to>
      <xdr:col>8</xdr:col>
      <xdr:colOff>1633544</xdr:colOff>
      <xdr:row>0</xdr:row>
      <xdr:rowOff>3457574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5679407" y="876300"/>
          <a:ext cx="1438275" cy="258127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Date of Birth</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completed for every reported investor where the account was opened as an ISA/JISA</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reported investor's where the account was originally opened as a PEP, if </a:t>
          </a:r>
          <a:r>
            <a:rPr lang="en-GB" sz="900" b="1" u="none">
              <a:solidFill>
                <a:schemeClr val="tx1"/>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known leave </a:t>
          </a:r>
          <a:r>
            <a:rPr lang="en-GB" sz="900" b="1" u="sng">
              <a:solidFill>
                <a:schemeClr val="tx1"/>
              </a:solidFill>
              <a:latin typeface="Arial" panose="020B0604020202020204" pitchFamily="34" charset="0"/>
              <a:cs typeface="Arial" panose="020B0604020202020204" pitchFamily="34" charset="0"/>
            </a:rPr>
            <a:t>BLANK</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DDMMYYYY </a:t>
          </a:r>
        </a:p>
        <a:p>
          <a:r>
            <a:rPr lang="en-GB" sz="900" b="1">
              <a:latin typeface="Arial" panose="020B0604020202020204" pitchFamily="34" charset="0"/>
              <a:cs typeface="Arial" panose="020B0604020202020204" pitchFamily="34" charset="0"/>
            </a:rPr>
            <a:t>e.g. 03081966</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Spaces or Dividers</a:t>
          </a:r>
        </a:p>
      </xdr:txBody>
    </xdr:sp>
    <xdr:clientData/>
  </xdr:twoCellAnchor>
  <xdr:twoCellAnchor>
    <xdr:from>
      <xdr:col>9</xdr:col>
      <xdr:colOff>119067</xdr:colOff>
      <xdr:row>0</xdr:row>
      <xdr:rowOff>457200</xdr:rowOff>
    </xdr:from>
    <xdr:to>
      <xdr:col>9</xdr:col>
      <xdr:colOff>2776542</xdr:colOff>
      <xdr:row>0</xdr:row>
      <xdr:rowOff>3457574</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41530" y="457200"/>
          <a:ext cx="2657475" cy="300037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National Insurance Number (NINO)</a:t>
          </a:r>
        </a:p>
        <a:p>
          <a:r>
            <a:rPr lang="en-GB" sz="900" b="1">
              <a:latin typeface="Arial" panose="020B0604020202020204" pitchFamily="34" charset="0"/>
              <a:cs typeface="Arial" panose="020B0604020202020204" pitchFamily="34" charset="0"/>
            </a:rPr>
            <a:t>If known insert the reported investor's national insurance number </a:t>
          </a:r>
        </a:p>
        <a:p>
          <a:endParaRPr lang="en-GB" sz="900" b="1">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Format </a:t>
          </a:r>
          <a:r>
            <a:rPr lang="en-GB" sz="900" b="1" u="sng">
              <a:solidFill>
                <a:schemeClr val="tx1"/>
              </a:solidFill>
              <a:effectLst/>
              <a:latin typeface="Arial" panose="020B0604020202020204" pitchFamily="34" charset="0"/>
              <a:ea typeface="+mn-ea"/>
              <a:cs typeface="Arial" panose="020B0604020202020204" pitchFamily="34" charset="0"/>
            </a:rPr>
            <a:t>MUST</a:t>
          </a:r>
          <a:r>
            <a:rPr lang="en-GB" sz="900" b="1">
              <a:solidFill>
                <a:schemeClr val="tx1"/>
              </a:solidFill>
              <a:effectLst/>
              <a:latin typeface="Arial" panose="020B0604020202020204" pitchFamily="34" charset="0"/>
              <a:ea typeface="+mn-ea"/>
              <a:cs typeface="Arial" panose="020B0604020202020204" pitchFamily="34" charset="0"/>
            </a:rPr>
            <a:t> be: AANNNNNNA or AANNNNNN</a:t>
          </a:r>
        </a:p>
        <a:p>
          <a:r>
            <a:rPr lang="en-GB" sz="900" b="1">
              <a:solidFill>
                <a:schemeClr val="tx1"/>
              </a:solidFill>
              <a:effectLst/>
              <a:latin typeface="Arial" panose="020B0604020202020204" pitchFamily="34" charset="0"/>
              <a:ea typeface="+mn-ea"/>
              <a:cs typeface="Arial" panose="020B0604020202020204" pitchFamily="34" charset="0"/>
            </a:rPr>
            <a:t>e.g. QQ123456A or QQ123456</a:t>
          </a:r>
          <a:endParaRPr lang="en-GB" sz="900">
            <a:solidFill>
              <a:schemeClr val="tx1"/>
            </a:solidFill>
            <a:effectLst/>
            <a:latin typeface="Arial" panose="020B0604020202020204" pitchFamily="34" charset="0"/>
            <a:cs typeface="Arial" panose="020B0604020202020204" pitchFamily="34" charset="0"/>
          </a:endParaRPr>
        </a:p>
        <a:p>
          <a:endParaRPr lang="en-GB" sz="900" b="1">
            <a:solidFill>
              <a:schemeClr val="dk1"/>
            </a:solidFill>
            <a:effectLst/>
            <a:latin typeface="Arial" panose="020B0604020202020204" pitchFamily="34" charset="0"/>
            <a:ea typeface="+mn-ea"/>
            <a:cs typeface="Arial" panose="020B0604020202020204" pitchFamily="34" charset="0"/>
          </a:endParaRPr>
        </a:p>
        <a:p>
          <a:r>
            <a:rPr lang="en-GB" sz="900" b="1">
              <a:solidFill>
                <a:schemeClr val="dk1"/>
              </a:solidFill>
              <a:effectLst/>
              <a:latin typeface="Arial" panose="020B0604020202020204" pitchFamily="34" charset="0"/>
              <a:ea typeface="+mn-ea"/>
              <a:cs typeface="Arial" panose="020B0604020202020204" pitchFamily="34" charset="0"/>
            </a:rPr>
            <a:t>If you </a:t>
          </a:r>
          <a:r>
            <a:rPr lang="en-GB" sz="900" b="1" u="none">
              <a:solidFill>
                <a:schemeClr val="tx1"/>
              </a:solidFill>
              <a:effectLst/>
              <a:latin typeface="Arial" panose="020B0604020202020204" pitchFamily="34" charset="0"/>
              <a:ea typeface="+mn-ea"/>
              <a:cs typeface="Arial" panose="020B0604020202020204" pitchFamily="34" charset="0"/>
            </a:rPr>
            <a:t>don't</a:t>
          </a:r>
          <a:r>
            <a:rPr lang="en-GB" sz="900" b="1">
              <a:solidFill>
                <a:schemeClr val="dk1"/>
              </a:solidFill>
              <a:effectLst/>
              <a:latin typeface="Arial" panose="020B0604020202020204" pitchFamily="34" charset="0"/>
              <a:ea typeface="+mn-ea"/>
              <a:cs typeface="Arial" panose="020B0604020202020204" pitchFamily="34" charset="0"/>
            </a:rPr>
            <a:t> know the final NINO </a:t>
          </a:r>
          <a:r>
            <a:rPr lang="en-GB" sz="900" b="1">
              <a:solidFill>
                <a:schemeClr val="tx1"/>
              </a:solidFill>
              <a:effectLst/>
              <a:latin typeface="Arial" panose="020B0604020202020204" pitchFamily="34" charset="0"/>
              <a:ea typeface="+mn-ea"/>
              <a:cs typeface="Arial" panose="020B0604020202020204" pitchFamily="34" charset="0"/>
            </a:rPr>
            <a:t>character (A-D) you can leave this character </a:t>
          </a:r>
          <a:r>
            <a:rPr lang="en-GB" sz="900" b="1" u="sng">
              <a:solidFill>
                <a:schemeClr val="tx1"/>
              </a:solidFill>
              <a:effectLst/>
              <a:latin typeface="Arial" panose="020B0604020202020204" pitchFamily="34" charset="0"/>
              <a:ea typeface="+mn-ea"/>
              <a:cs typeface="Arial" panose="020B0604020202020204" pitchFamily="34" charset="0"/>
            </a:rPr>
            <a:t>BLANK</a:t>
          </a:r>
          <a:endParaRPr lang="en-GB" sz="900">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Spaces or Dividers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ISAs</a:t>
          </a:r>
          <a:r>
            <a:rPr lang="en-GB" sz="900" b="1" baseline="0">
              <a:solidFill>
                <a:schemeClr val="tx1"/>
              </a:solidFill>
              <a:latin typeface="Arial" panose="020B0604020202020204" pitchFamily="34" charset="0"/>
              <a:cs typeface="Arial" panose="020B0604020202020204" pitchFamily="34" charset="0"/>
            </a:rPr>
            <a:t> opened with matured funds from a CTF, the unique reference number for the child trust fund </a:t>
          </a:r>
          <a:r>
            <a:rPr lang="en-GB" sz="900" b="1" u="sng" baseline="0">
              <a:solidFill>
                <a:schemeClr val="tx1"/>
              </a:solidFill>
              <a:latin typeface="Arial" panose="020B0604020202020204" pitchFamily="34" charset="0"/>
              <a:cs typeface="Arial" panose="020B0604020202020204" pitchFamily="34" charset="0"/>
            </a:rPr>
            <a:t>MUST</a:t>
          </a:r>
          <a:r>
            <a:rPr lang="en-GB" sz="900" b="1" u="none" baseline="0">
              <a:solidFill>
                <a:schemeClr val="tx1"/>
              </a:solidFill>
              <a:latin typeface="Arial" panose="020B0604020202020204" pitchFamily="34" charset="0"/>
              <a:cs typeface="Arial" panose="020B0604020202020204" pitchFamily="34" charset="0"/>
            </a:rPr>
            <a:t> be provided here</a:t>
          </a:r>
          <a:endParaRPr lang="en-GB" sz="900" b="1" u="none">
            <a:solidFill>
              <a:schemeClr val="tx1"/>
            </a:solidFill>
            <a:latin typeface="Arial" panose="020B0604020202020204" pitchFamily="34" charset="0"/>
            <a:cs typeface="Arial" panose="020B0604020202020204" pitchFamily="34" charset="0"/>
          </a:endParaRP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your system requires</a:t>
          </a:r>
          <a:r>
            <a:rPr lang="en-GB" sz="900" b="1" baseline="0">
              <a:solidFill>
                <a:schemeClr val="tx1"/>
              </a:solidFill>
              <a:latin typeface="Arial" panose="020B0604020202020204" pitchFamily="34" charset="0"/>
              <a:cs typeface="Arial" panose="020B0604020202020204" pitchFamily="34" charset="0"/>
            </a:rPr>
            <a:t> a</a:t>
          </a:r>
          <a:r>
            <a:rPr lang="en-GB" sz="900" b="1">
              <a:solidFill>
                <a:schemeClr val="tx1"/>
              </a:solidFill>
              <a:latin typeface="Arial" panose="020B0604020202020204" pitchFamily="34" charset="0"/>
              <a:cs typeface="Arial" panose="020B0604020202020204" pitchFamily="34" charset="0"/>
            </a:rPr>
            <a:t> NINO input, for ISA use QQ999999A &amp; for JISA use QQ888888A</a:t>
          </a:r>
        </a:p>
        <a:p>
          <a:endParaRPr lang="en-GB" sz="900" b="1">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Temporary NINOs </a:t>
          </a:r>
          <a:r>
            <a:rPr lang="en-GB" sz="900" b="1">
              <a:solidFill>
                <a:schemeClr val="dk1"/>
              </a:solidFill>
              <a:effectLst/>
              <a:latin typeface="Arial" panose="020B0604020202020204" pitchFamily="34" charset="0"/>
              <a:ea typeface="+mn-ea"/>
              <a:cs typeface="Arial" panose="020B0604020202020204" pitchFamily="34" charset="0"/>
            </a:rPr>
            <a:t>are</a:t>
          </a:r>
          <a:r>
            <a:rPr lang="en-GB" sz="900" b="1" baseline="0">
              <a:solidFill>
                <a:schemeClr val="dk1"/>
              </a:solidFill>
              <a:effectLst/>
              <a:latin typeface="Arial" panose="020B0604020202020204" pitchFamily="34" charset="0"/>
              <a:ea typeface="+mn-ea"/>
              <a:cs typeface="Arial" panose="020B0604020202020204" pitchFamily="34" charset="0"/>
            </a:rPr>
            <a:t> </a:t>
          </a:r>
          <a:r>
            <a:rPr lang="en-GB" sz="900" b="1" u="sng" baseline="0">
              <a:solidFill>
                <a:srgbClr val="FF0000"/>
              </a:solidFill>
              <a:effectLst/>
              <a:latin typeface="Arial" panose="020B0604020202020204" pitchFamily="34" charset="0"/>
              <a:ea typeface="+mn-ea"/>
              <a:cs typeface="Arial" panose="020B0604020202020204" pitchFamily="34" charset="0"/>
            </a:rPr>
            <a:t>NOT </a:t>
          </a:r>
          <a:r>
            <a:rPr lang="en-GB" sz="900" b="1" baseline="0">
              <a:solidFill>
                <a:schemeClr val="dk1"/>
              </a:solidFill>
              <a:effectLst/>
              <a:latin typeface="Arial" panose="020B0604020202020204" pitchFamily="34" charset="0"/>
              <a:ea typeface="+mn-ea"/>
              <a:cs typeface="Arial" panose="020B0604020202020204" pitchFamily="34" charset="0"/>
            </a:rPr>
            <a:t>acceptable</a:t>
          </a:r>
          <a:endParaRPr lang="en-GB" sz="900">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a:solidFill>
                <a:schemeClr val="dk1"/>
              </a:solidFill>
              <a:effectLst/>
              <a:latin typeface="Arial" panose="020B0604020202020204" pitchFamily="34" charset="0"/>
              <a:ea typeface="+mn-ea"/>
              <a:cs typeface="Arial" panose="020B0604020202020204" pitchFamily="34" charset="0"/>
            </a:rPr>
            <a:t>If </a:t>
          </a:r>
          <a:r>
            <a:rPr lang="en-GB" sz="900" b="1" u="none">
              <a:solidFill>
                <a:schemeClr val="tx1"/>
              </a:solidFill>
              <a:effectLst/>
              <a:latin typeface="Arial" panose="020B0604020202020204" pitchFamily="34" charset="0"/>
              <a:ea typeface="+mn-ea"/>
              <a:cs typeface="Arial" panose="020B0604020202020204" pitchFamily="34" charset="0"/>
            </a:rPr>
            <a:t>not known or not</a:t>
          </a:r>
          <a:r>
            <a:rPr lang="en-GB" sz="900" b="1">
              <a:solidFill>
                <a:srgbClr val="FF0000"/>
              </a:solidFill>
              <a:effectLst/>
              <a:latin typeface="Arial" panose="020B0604020202020204" pitchFamily="34" charset="0"/>
              <a:ea typeface="+mn-ea"/>
              <a:cs typeface="Arial" panose="020B0604020202020204" pitchFamily="34" charset="0"/>
            </a:rPr>
            <a:t> </a:t>
          </a:r>
          <a:r>
            <a:rPr lang="en-GB" sz="900" b="1">
              <a:solidFill>
                <a:schemeClr val="dk1"/>
              </a:solidFill>
              <a:effectLst/>
              <a:latin typeface="Arial" panose="020B0604020202020204" pitchFamily="34" charset="0"/>
              <a:ea typeface="+mn-ea"/>
              <a:cs typeface="Arial" panose="020B0604020202020204" pitchFamily="34" charset="0"/>
            </a:rPr>
            <a:t>applicable leave </a:t>
          </a:r>
          <a:r>
            <a:rPr lang="en-GB" sz="900" b="1" u="sng">
              <a:solidFill>
                <a:schemeClr val="tx1"/>
              </a:solidFill>
              <a:effectLst/>
              <a:latin typeface="Arial" panose="020B0604020202020204" pitchFamily="34" charset="0"/>
              <a:ea typeface="+mn-ea"/>
              <a:cs typeface="Arial" panose="020B0604020202020204" pitchFamily="34" charset="0"/>
            </a:rPr>
            <a:t>BLANK</a:t>
          </a:r>
          <a:endParaRPr lang="en-GB" sz="900">
            <a:solidFill>
              <a:schemeClr val="tx1"/>
            </a:solidFill>
            <a:effectLst/>
            <a:latin typeface="Arial" panose="020B0604020202020204" pitchFamily="34" charset="0"/>
            <a:cs typeface="Arial" panose="020B0604020202020204" pitchFamily="34" charset="0"/>
          </a:endParaRPr>
        </a:p>
      </xdr:txBody>
    </xdr:sp>
    <xdr:clientData/>
  </xdr:twoCellAnchor>
  <xdr:twoCellAnchor>
    <xdr:from>
      <xdr:col>10</xdr:col>
      <xdr:colOff>438154</xdr:colOff>
      <xdr:row>0</xdr:row>
      <xdr:rowOff>857249</xdr:rowOff>
    </xdr:from>
    <xdr:to>
      <xdr:col>10</xdr:col>
      <xdr:colOff>3581404</xdr:colOff>
      <xdr:row>0</xdr:row>
      <xdr:rowOff>3457574</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30313317" y="857249"/>
          <a:ext cx="3143250" cy="26003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Address Line 1</a:t>
          </a:r>
        </a:p>
        <a:p>
          <a:r>
            <a:rPr lang="en-GB" sz="900" b="1">
              <a:latin typeface="Arial" panose="020B0604020202020204" pitchFamily="34" charset="0"/>
              <a:cs typeface="Arial" panose="020B0604020202020204" pitchFamily="34" charset="0"/>
            </a:rPr>
            <a:t>This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completed for every reported investor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first line of the permanent residential address of the reported investor </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address other than the permanent residential address of the reported investor detailed in </a:t>
          </a:r>
          <a:r>
            <a:rPr lang="en-GB" sz="900" b="1">
              <a:solidFill>
                <a:schemeClr val="tx1"/>
              </a:solidFill>
              <a:latin typeface="Arial" panose="020B0604020202020204" pitchFamily="34" charset="0"/>
              <a:cs typeface="Arial" panose="020B0604020202020204" pitchFamily="34" charset="0"/>
            </a:rPr>
            <a:t>Columns F - H </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addresses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include UK 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Carriage Returns or any Line Breaks </a:t>
          </a:r>
          <a:r>
            <a:rPr lang="en-GB" sz="900" b="1">
              <a:latin typeface="Arial" panose="020B0604020202020204" pitchFamily="34" charset="0"/>
              <a:cs typeface="Arial" panose="020B0604020202020204" pitchFamily="34" charset="0"/>
            </a:rPr>
            <a:t>in 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t>
          </a:r>
          <a:r>
            <a:rPr lang="en-GB" sz="900" b="1">
              <a:solidFill>
                <a:schemeClr val="tx1"/>
              </a:solidFill>
              <a:latin typeface="Arial" panose="020B0604020202020204" pitchFamily="34" charset="0"/>
              <a:cs typeface="Arial" panose="020B0604020202020204" pitchFamily="34" charset="0"/>
            </a:rPr>
            <a:t>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11</xdr:col>
      <xdr:colOff>280997</xdr:colOff>
      <xdr:row>0</xdr:row>
      <xdr:rowOff>447675</xdr:rowOff>
    </xdr:from>
    <xdr:to>
      <xdr:col>11</xdr:col>
      <xdr:colOff>3757622</xdr:colOff>
      <xdr:row>0</xdr:row>
      <xdr:rowOff>3457575</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34137610" y="447675"/>
          <a:ext cx="3476625" cy="300990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Address Line 2</a:t>
          </a:r>
        </a:p>
        <a:p>
          <a:r>
            <a:rPr lang="en-GB" sz="900" b="1" u="sng">
              <a:solidFill>
                <a:schemeClr val="tx1"/>
              </a:solidFill>
              <a:latin typeface="Arial" panose="020B0604020202020204" pitchFamily="34" charset="0"/>
              <a:cs typeface="Arial" panose="020B0604020202020204" pitchFamily="34" charset="0"/>
            </a:rPr>
            <a:t>ONLY</a:t>
          </a:r>
          <a:r>
            <a:rPr lang="en-GB" sz="900" b="1">
              <a:latin typeface="Arial" panose="020B0604020202020204" pitchFamily="34" charset="0"/>
              <a:cs typeface="Arial" panose="020B0604020202020204" pitchFamily="34" charset="0"/>
            </a:rPr>
            <a:t> to be completed if you require 2 or more fields to supply the permanent residential address of the reported investor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address other than the permanent residential address of the reported investor detailed in </a:t>
          </a:r>
          <a:r>
            <a:rPr lang="en-GB" sz="900" b="1">
              <a:solidFill>
                <a:schemeClr val="tx1"/>
              </a:solidFill>
              <a:latin typeface="Arial" panose="020B0604020202020204" pitchFamily="34" charset="0"/>
              <a:cs typeface="Arial" panose="020B0604020202020204" pitchFamily="34" charset="0"/>
            </a:rPr>
            <a:t>Columns F - H</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t>
          </a:r>
          <a:r>
            <a:rPr lang="en-GB" sz="900" b="1">
              <a:latin typeface="Arial" panose="020B0604020202020204" pitchFamily="34" charset="0"/>
              <a:cs typeface="Arial" panose="020B0604020202020204" pitchFamily="34" charset="0"/>
            </a:rPr>
            <a:t>addresses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include UK 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Carriage Returns or any Line Breaks in 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as </a:t>
          </a:r>
          <a:r>
            <a:rPr lang="en-GB" sz="900" b="1">
              <a:solidFill>
                <a:schemeClr val="tx1"/>
              </a:solidFill>
              <a:latin typeface="Arial" panose="020B0604020202020204" pitchFamily="34" charset="0"/>
              <a:cs typeface="Arial" panose="020B0604020202020204" pitchFamily="34" charset="0"/>
            </a:rPr>
            <a:t>'Ditto',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NON-UK addresses the  name of the </a:t>
          </a:r>
          <a:r>
            <a:rPr lang="en-GB" sz="900" b="1">
              <a:solidFill>
                <a:schemeClr val="tx1"/>
              </a:solidFill>
              <a:latin typeface="Arial" panose="020B0604020202020204" pitchFamily="34" charset="0"/>
              <a:cs typeface="Arial" panose="020B0604020202020204" pitchFamily="34" charset="0"/>
            </a:rPr>
            <a:t>country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the </a:t>
          </a:r>
          <a:r>
            <a:rPr lang="en-GB" sz="900" b="1" u="none">
              <a:solidFill>
                <a:schemeClr val="tx1"/>
              </a:solidFill>
              <a:latin typeface="Arial" panose="020B0604020202020204" pitchFamily="34" charset="0"/>
              <a:cs typeface="Arial" panose="020B0604020202020204" pitchFamily="34" charset="0"/>
            </a:rPr>
            <a:t>end</a:t>
          </a:r>
          <a:r>
            <a:rPr lang="en-GB" sz="900" b="1">
              <a:solidFill>
                <a:schemeClr val="tx1"/>
              </a:solidFill>
              <a:latin typeface="Arial" panose="020B0604020202020204" pitchFamily="34" charset="0"/>
              <a:cs typeface="Arial" panose="020B0604020202020204" pitchFamily="34" charset="0"/>
            </a:rPr>
            <a:t> of the address provided</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required </a:t>
          </a:r>
          <a:r>
            <a:rPr lang="en-GB" sz="900" b="1">
              <a:solidFill>
                <a:schemeClr val="tx1"/>
              </a:solidFill>
              <a:latin typeface="Arial" panose="020B0604020202020204" pitchFamily="34" charset="0"/>
              <a:cs typeface="Arial" panose="020B0604020202020204" pitchFamily="34" charset="0"/>
            </a:rPr>
            <a:t>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12</xdr:col>
      <xdr:colOff>290516</xdr:colOff>
      <xdr:row>0</xdr:row>
      <xdr:rowOff>438150</xdr:rowOff>
    </xdr:from>
    <xdr:to>
      <xdr:col>12</xdr:col>
      <xdr:colOff>3767141</xdr:colOff>
      <xdr:row>0</xdr:row>
      <xdr:rowOff>3457574</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38200016" y="438150"/>
          <a:ext cx="3476625" cy="301942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Address Line 3</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to </a:t>
          </a:r>
          <a:r>
            <a:rPr lang="en-GB" sz="900" b="1">
              <a:latin typeface="Arial" panose="020B0604020202020204" pitchFamily="34" charset="0"/>
              <a:cs typeface="Arial" panose="020B0604020202020204" pitchFamily="34" charset="0"/>
            </a:rPr>
            <a:t>be completed if you require 3 or more fields to supply the permanent residential address of the reported investor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u="none" baseline="0">
              <a:solidFill>
                <a:srgbClr val="FF0000"/>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include any address other than the permanent residential address of the reported investor detailed in </a:t>
          </a:r>
          <a:r>
            <a:rPr lang="en-GB" sz="900" b="1">
              <a:solidFill>
                <a:schemeClr val="tx1"/>
              </a:solidFill>
              <a:latin typeface="Arial" panose="020B0604020202020204" pitchFamily="34" charset="0"/>
              <a:cs typeface="Arial" panose="020B0604020202020204" pitchFamily="34" charset="0"/>
            </a:rPr>
            <a:t>Columns F - H</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addresses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include UK 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Carriage Returns or any Line Breaks in the </a:t>
          </a:r>
          <a:r>
            <a:rPr lang="en-GB" sz="900" b="1">
              <a:latin typeface="Arial" panose="020B0604020202020204" pitchFamily="34" charset="0"/>
              <a:cs typeface="Arial" panose="020B0604020202020204" pitchFamily="34" charset="0"/>
            </a:rPr>
            <a:t>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as </a:t>
          </a:r>
          <a:r>
            <a:rPr lang="en-GB" sz="900" b="1">
              <a:solidFill>
                <a:schemeClr val="tx1"/>
              </a:solidFill>
              <a:latin typeface="Arial" panose="020B0604020202020204" pitchFamily="34" charset="0"/>
              <a:cs typeface="Arial" panose="020B0604020202020204" pitchFamily="34" charset="0"/>
            </a:rPr>
            <a:t>'Ditto', 'Not Known' or 'See Above'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NON-UK addr</a:t>
          </a:r>
          <a:r>
            <a:rPr lang="en-GB" sz="900" b="1">
              <a:solidFill>
                <a:schemeClr val="tx1"/>
              </a:solidFill>
              <a:latin typeface="Arial" panose="020B0604020202020204" pitchFamily="34" charset="0"/>
              <a:cs typeface="Arial" panose="020B0604020202020204" pitchFamily="34" charset="0"/>
            </a:rPr>
            <a:t>esses the  name of the country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the </a:t>
          </a:r>
          <a:r>
            <a:rPr lang="en-GB" sz="900" b="1" u="none">
              <a:solidFill>
                <a:schemeClr val="tx1"/>
              </a:solidFill>
              <a:latin typeface="Arial" panose="020B0604020202020204" pitchFamily="34" charset="0"/>
              <a:cs typeface="Arial" panose="020B0604020202020204" pitchFamily="34" charset="0"/>
            </a:rPr>
            <a:t>end</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of the address provided</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required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13</xdr:col>
      <xdr:colOff>271468</xdr:colOff>
      <xdr:row>0</xdr:row>
      <xdr:rowOff>447675</xdr:rowOff>
    </xdr:from>
    <xdr:to>
      <xdr:col>13</xdr:col>
      <xdr:colOff>3757618</xdr:colOff>
      <xdr:row>0</xdr:row>
      <xdr:rowOff>3457575</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42233856" y="447675"/>
          <a:ext cx="3486150" cy="300990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Address Line 4</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to be completed if you require 4 or more fields to supply the permanent residential address of the reported investor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address other than the permanent residential address of the reported investor detailed in </a:t>
          </a:r>
          <a:r>
            <a:rPr lang="en-GB" sz="900" b="1">
              <a:solidFill>
                <a:schemeClr val="tx1"/>
              </a:solidFill>
              <a:latin typeface="Arial" panose="020B0604020202020204" pitchFamily="34" charset="0"/>
              <a:cs typeface="Arial" panose="020B0604020202020204" pitchFamily="34" charset="0"/>
            </a:rPr>
            <a:t>Columns F - H</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t>
          </a:r>
          <a:r>
            <a:rPr lang="en-GB" sz="900" b="1">
              <a:latin typeface="Arial" panose="020B0604020202020204" pitchFamily="34" charset="0"/>
              <a:cs typeface="Arial" panose="020B0604020202020204" pitchFamily="34" charset="0"/>
            </a:rPr>
            <a:t>addresses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include UK 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Carriage Returns or any Line Breaks </a:t>
          </a:r>
          <a:r>
            <a:rPr lang="en-GB" sz="900" b="1">
              <a:latin typeface="Arial" panose="020B0604020202020204" pitchFamily="34" charset="0"/>
              <a:cs typeface="Arial" panose="020B0604020202020204" pitchFamily="34" charset="0"/>
            </a:rPr>
            <a:t>in 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as </a:t>
          </a:r>
          <a:r>
            <a:rPr lang="en-GB" sz="900" b="1">
              <a:solidFill>
                <a:schemeClr val="tx1"/>
              </a:solidFill>
              <a:latin typeface="Arial" panose="020B0604020202020204" pitchFamily="34" charset="0"/>
              <a:cs typeface="Arial" panose="020B0604020202020204" pitchFamily="34" charset="0"/>
            </a:rPr>
            <a:t>'Ditto',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NON-UK addresses the  name of the </a:t>
          </a:r>
          <a:r>
            <a:rPr lang="en-GB" sz="900" b="1">
              <a:solidFill>
                <a:schemeClr val="tx1"/>
              </a:solidFill>
              <a:latin typeface="Arial" panose="020B0604020202020204" pitchFamily="34" charset="0"/>
              <a:cs typeface="Arial" panose="020B0604020202020204" pitchFamily="34" charset="0"/>
            </a:rPr>
            <a:t>country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a:r>
          <a:r>
            <a:rPr lang="en-GB" sz="900" b="1">
              <a:latin typeface="Arial" panose="020B0604020202020204" pitchFamily="34" charset="0"/>
              <a:cs typeface="Arial" panose="020B0604020202020204" pitchFamily="34" charset="0"/>
            </a:rPr>
            <a:t>at the </a:t>
          </a:r>
          <a:r>
            <a:rPr lang="en-GB" sz="900" b="1" u="none">
              <a:solidFill>
                <a:schemeClr val="tx1"/>
              </a:solidFill>
              <a:latin typeface="Arial" panose="020B0604020202020204" pitchFamily="34" charset="0"/>
              <a:cs typeface="Arial" panose="020B0604020202020204" pitchFamily="34" charset="0"/>
            </a:rPr>
            <a:t>end</a:t>
          </a:r>
          <a:r>
            <a:rPr lang="en-GB" sz="900" b="1">
              <a:latin typeface="Arial" panose="020B0604020202020204" pitchFamily="34" charset="0"/>
              <a:cs typeface="Arial" panose="020B0604020202020204" pitchFamily="34" charset="0"/>
            </a:rPr>
            <a:t> of the address provided</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required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14</xdr:col>
      <xdr:colOff>371483</xdr:colOff>
      <xdr:row>0</xdr:row>
      <xdr:rowOff>457200</xdr:rowOff>
    </xdr:from>
    <xdr:to>
      <xdr:col>14</xdr:col>
      <xdr:colOff>3619508</xdr:colOff>
      <xdr:row>0</xdr:row>
      <xdr:rowOff>3457575</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6386758" y="457200"/>
          <a:ext cx="3248025" cy="30003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Address Line 5</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to </a:t>
          </a:r>
          <a:r>
            <a:rPr lang="en-GB" sz="900" b="1">
              <a:latin typeface="Arial" panose="020B0604020202020204" pitchFamily="34" charset="0"/>
              <a:cs typeface="Arial" panose="020B0604020202020204" pitchFamily="34" charset="0"/>
            </a:rPr>
            <a:t>be completed if you require 5 fields to supply the permanent residential address of the reported investor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address other than the permanent </a:t>
          </a:r>
          <a:r>
            <a:rPr lang="en-GB" sz="900" b="1">
              <a:solidFill>
                <a:schemeClr val="tx1"/>
              </a:solidFill>
              <a:latin typeface="Arial" panose="020B0604020202020204" pitchFamily="34" charset="0"/>
              <a:cs typeface="Arial" panose="020B0604020202020204" pitchFamily="34" charset="0"/>
            </a:rPr>
            <a:t>residential address of the reported investor detailed in Columns F - H </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addresses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include UK 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Carriage Returns or any Line Breaks in 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t>
          </a:r>
          <a:r>
            <a:rPr lang="en-GB" sz="900" b="1">
              <a:solidFill>
                <a:schemeClr val="tx1"/>
              </a:solidFill>
              <a:latin typeface="Arial" panose="020B0604020202020204" pitchFamily="34" charset="0"/>
              <a:cs typeface="Arial" panose="020B0604020202020204" pitchFamily="34" charset="0"/>
            </a:rPr>
            <a:t>as 'Ditto', 'Not Known' or 'See Above'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NON-UK addresses the  name of the country</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the </a:t>
          </a:r>
          <a:r>
            <a:rPr lang="en-GB" sz="900" b="1" u="none">
              <a:solidFill>
                <a:schemeClr val="tx1"/>
              </a:solidFill>
              <a:latin typeface="Arial" panose="020B0604020202020204" pitchFamily="34" charset="0"/>
              <a:cs typeface="Arial" panose="020B0604020202020204" pitchFamily="34" charset="0"/>
            </a:rPr>
            <a:t>end</a:t>
          </a:r>
          <a:r>
            <a:rPr lang="en-GB" sz="900" b="1">
              <a:solidFill>
                <a:schemeClr val="tx1"/>
              </a:solidFill>
              <a:latin typeface="Arial" panose="020B0604020202020204" pitchFamily="34" charset="0"/>
              <a:cs typeface="Arial" panose="020B0604020202020204" pitchFamily="34" charset="0"/>
            </a:rPr>
            <a:t> of </a:t>
          </a:r>
          <a:r>
            <a:rPr lang="en-GB" sz="900" b="1">
              <a:latin typeface="Arial" panose="020B0604020202020204" pitchFamily="34" charset="0"/>
              <a:cs typeface="Arial" panose="020B0604020202020204" pitchFamily="34" charset="0"/>
            </a:rPr>
            <a:t>the address provided</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required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15</xdr:col>
      <xdr:colOff>185744</xdr:colOff>
      <xdr:row>0</xdr:row>
      <xdr:rowOff>838200</xdr:rowOff>
    </xdr:from>
    <xdr:to>
      <xdr:col>15</xdr:col>
      <xdr:colOff>1719269</xdr:colOff>
      <xdr:row>0</xdr:row>
      <xdr:rowOff>3457575</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50182469" y="838200"/>
          <a:ext cx="1533525" cy="26193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Investor's Postcode</a:t>
          </a:r>
        </a:p>
        <a:p>
          <a:r>
            <a:rPr lang="en-GB" sz="900" b="1">
              <a:latin typeface="Arial" panose="020B0604020202020204" pitchFamily="34" charset="0"/>
              <a:cs typeface="Arial" panose="020B0604020202020204" pitchFamily="34" charset="0"/>
            </a:rPr>
            <a:t>For UK addresses postcodes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provided </a:t>
          </a:r>
          <a:r>
            <a:rPr lang="en-GB" sz="900" b="1" u="none">
              <a:solidFill>
                <a:schemeClr val="tx1"/>
              </a:solidFill>
              <a:latin typeface="Arial" panose="020B0604020202020204" pitchFamily="34" charset="0"/>
              <a:cs typeface="Arial" panose="020B0604020202020204" pitchFamily="34" charset="0"/>
            </a:rPr>
            <a:t>separate</a:t>
          </a:r>
          <a:r>
            <a:rPr lang="en-GB" sz="900" b="1">
              <a:solidFill>
                <a:schemeClr val="tx1"/>
              </a:solidFill>
              <a:latin typeface="Arial" panose="020B0604020202020204" pitchFamily="34" charset="0"/>
              <a:cs typeface="Arial" panose="020B0604020202020204" pitchFamily="34" charset="0"/>
            </a:rPr>
            <a:t> from </a:t>
          </a:r>
          <a:r>
            <a:rPr lang="en-GB" sz="900" b="1">
              <a:latin typeface="Arial" panose="020B0604020202020204" pitchFamily="34" charset="0"/>
              <a:cs typeface="Arial" panose="020B0604020202020204" pitchFamily="34" charset="0"/>
            </a:rPr>
            <a:t>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NON-UK addresses </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insert the postcode here if it does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exceed the maximum 8 character length, otherwise provide NON-UK postcode in the address</a:t>
          </a:r>
        </a:p>
        <a:p>
          <a:endParaRPr lang="en-GB" sz="900" b="1">
            <a:latin typeface="Arial" panose="020B0604020202020204" pitchFamily="34" charset="0"/>
            <a:cs typeface="Arial" panose="020B0604020202020204" pitchFamily="34" charset="0"/>
          </a:endParaRP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insert </a:t>
          </a:r>
          <a:r>
            <a:rPr lang="en-GB" sz="900" b="1">
              <a:latin typeface="Arial" panose="020B0604020202020204" pitchFamily="34" charset="0"/>
              <a:cs typeface="Arial" panose="020B0604020202020204" pitchFamily="34" charset="0"/>
            </a:rPr>
            <a:t>postcodes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other than postcodes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16</xdr:col>
      <xdr:colOff>128589</xdr:colOff>
      <xdr:row>0</xdr:row>
      <xdr:rowOff>452438</xdr:rowOff>
    </xdr:from>
    <xdr:to>
      <xdr:col>16</xdr:col>
      <xdr:colOff>2343153</xdr:colOff>
      <xdr:row>0</xdr:row>
      <xdr:rowOff>3457575</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52382739" y="452438"/>
          <a:ext cx="2214564" cy="3005137"/>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Amount Subscribed to Stocks &amp; Shares ISA/JISA</a:t>
          </a:r>
        </a:p>
        <a:p>
          <a:r>
            <a:rPr lang="en-GB" sz="900" b="1">
              <a:latin typeface="Arial" panose="020B0604020202020204" pitchFamily="34" charset="0"/>
              <a:cs typeface="Arial" panose="020B0604020202020204" pitchFamily="34" charset="0"/>
            </a:rPr>
            <a:t>Insert the amount subscribed to stocks &amp; shares within the reported tax year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Subscriptions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reported in </a:t>
          </a:r>
          <a:r>
            <a:rPr lang="en-GB" sz="900" b="1" u="none">
              <a:solidFill>
                <a:schemeClr val="tx1"/>
              </a:solidFill>
              <a:latin typeface="Arial" panose="020B0604020202020204" pitchFamily="34" charset="0"/>
              <a:cs typeface="Arial" panose="020B0604020202020204" pitchFamily="34" charset="0"/>
            </a:rPr>
            <a:t>numerical format</a:t>
          </a:r>
          <a:r>
            <a:rPr lang="en-GB" sz="900" b="1">
              <a:latin typeface="Arial" panose="020B0604020202020204" pitchFamily="34" charset="0"/>
              <a:cs typeface="Arial" panose="020B0604020202020204" pitchFamily="34" charset="0"/>
            </a:rPr>
            <a:t> 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Stocks &amp; Shares ISAs with investments from a mature CTF account</a:t>
          </a:r>
          <a:r>
            <a:rPr lang="en-GB" sz="900" b="1" baseline="0">
              <a:solidFill>
                <a:schemeClr val="tx1"/>
              </a:solidFill>
              <a:latin typeface="Arial" panose="020B0604020202020204" pitchFamily="34" charset="0"/>
              <a:cs typeface="Arial" panose="020B0604020202020204" pitchFamily="34" charset="0"/>
            </a:rPr>
            <a:t> insert 0</a:t>
          </a:r>
          <a:r>
            <a:rPr lang="en-GB" sz="900" b="1">
              <a:solidFill>
                <a:schemeClr val="tx1"/>
              </a:solidFill>
              <a:latin typeface="Arial" panose="020B0604020202020204" pitchFamily="34" charset="0"/>
              <a:cs typeface="Arial" panose="020B0604020202020204" pitchFamily="34" charset="0"/>
            </a:rPr>
            <a:t>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Where there have been </a:t>
          </a:r>
          <a:r>
            <a:rPr lang="en-GB" sz="900" b="1" u="none">
              <a:solidFill>
                <a:schemeClr val="tx1"/>
              </a:solidFill>
              <a:latin typeface="Arial" panose="020B0604020202020204" pitchFamily="34" charset="0"/>
              <a:cs typeface="Arial" panose="020B0604020202020204" pitchFamily="34" charset="0"/>
            </a:rPr>
            <a:t>no</a:t>
          </a:r>
          <a:r>
            <a:rPr lang="en-GB" sz="900" b="1" u="none"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subscriptions in the tax year or current year subscriptions have been transferred to another ISA manager, insert 0</a:t>
          </a:r>
        </a:p>
      </xdr:txBody>
    </xdr:sp>
    <xdr:clientData/>
  </xdr:twoCellAnchor>
  <xdr:twoCellAnchor>
    <xdr:from>
      <xdr:col>17</xdr:col>
      <xdr:colOff>123825</xdr:colOff>
      <xdr:row>0</xdr:row>
      <xdr:rowOff>452438</xdr:rowOff>
    </xdr:from>
    <xdr:to>
      <xdr:col>17</xdr:col>
      <xdr:colOff>2000250</xdr:colOff>
      <xdr:row>0</xdr:row>
      <xdr:rowOff>3457574</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54849713" y="452438"/>
          <a:ext cx="1876425" cy="300513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Amount Subscribed to Cash ISA/JISA</a:t>
          </a:r>
        </a:p>
        <a:p>
          <a:r>
            <a:rPr lang="en-GB" sz="900" b="1">
              <a:latin typeface="Arial" panose="020B0604020202020204" pitchFamily="34" charset="0"/>
              <a:cs typeface="Arial" panose="020B0604020202020204" pitchFamily="34" charset="0"/>
            </a:rPr>
            <a:t>Insert the amount subscribed to cash within the reported tax year </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Subscriptions </a:t>
          </a:r>
          <a:r>
            <a:rPr kumimoji="0" lang="en-GB" sz="90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be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reported in numerical format to the nearest whole pound and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a:t>
          </a:r>
          <a:r>
            <a:rPr lang="en-GB" sz="900" b="1" baseline="0">
              <a:solidFill>
                <a:schemeClr val="tx1"/>
              </a:solidFill>
              <a:latin typeface="Arial" panose="020B0604020202020204" pitchFamily="34" charset="0"/>
              <a:cs typeface="Arial" panose="020B0604020202020204" pitchFamily="34" charset="0"/>
            </a:rPr>
            <a:t> Cash ISAs with cash from a matured CTF account insert 0</a:t>
          </a:r>
          <a:endParaRPr lang="en-GB" sz="900" b="1">
            <a:solidFill>
              <a:schemeClr val="tx1"/>
            </a:solidFill>
            <a:latin typeface="Arial" panose="020B0604020202020204" pitchFamily="34" charset="0"/>
            <a:cs typeface="Arial" panose="020B0604020202020204" pitchFamily="34" charset="0"/>
          </a:endParaRP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Where there have been </a:t>
          </a:r>
          <a:r>
            <a:rPr lang="en-GB" sz="900" b="1" u="none">
              <a:solidFill>
                <a:schemeClr val="tx1"/>
              </a:solidFill>
              <a:latin typeface="Arial" panose="020B0604020202020204" pitchFamily="34" charset="0"/>
              <a:cs typeface="Arial" panose="020B0604020202020204" pitchFamily="34" charset="0"/>
            </a:rPr>
            <a:t>no</a:t>
          </a:r>
          <a:r>
            <a:rPr lang="en-GB" sz="900" b="1">
              <a:solidFill>
                <a:schemeClr val="tx1"/>
              </a:solidFill>
              <a:latin typeface="Arial" panose="020B0604020202020204" pitchFamily="34" charset="0"/>
              <a:cs typeface="Arial" panose="020B0604020202020204" pitchFamily="34" charset="0"/>
            </a:rPr>
            <a:t> subscriptions in the tax year or current year subscriptions have been transferred to another ISA manager, insert 0</a:t>
          </a:r>
        </a:p>
      </xdr:txBody>
    </xdr:sp>
    <xdr:clientData/>
  </xdr:twoCellAnchor>
  <xdr:twoCellAnchor>
    <xdr:from>
      <xdr:col>18</xdr:col>
      <xdr:colOff>204794</xdr:colOff>
      <xdr:row>0</xdr:row>
      <xdr:rowOff>590550</xdr:rowOff>
    </xdr:from>
    <xdr:to>
      <xdr:col>18</xdr:col>
      <xdr:colOff>1900244</xdr:colOff>
      <xdr:row>0</xdr:row>
      <xdr:rowOff>3457576</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56359432" y="590550"/>
          <a:ext cx="1695450" cy="286702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Amount Subscribed to Innovative Finance ISA</a:t>
          </a:r>
        </a:p>
        <a:p>
          <a:r>
            <a:rPr lang="en-GB" sz="900" b="1">
              <a:latin typeface="Arial" panose="020B0604020202020204" pitchFamily="34" charset="0"/>
              <a:cs typeface="Arial" panose="020B0604020202020204" pitchFamily="34" charset="0"/>
            </a:rPr>
            <a:t>Insert the amount subscribed to innovative finance ISA within the reported tax year </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Subscriptions </a:t>
          </a:r>
          <a:r>
            <a:rPr kumimoji="0" lang="en-GB" sz="90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 reported in numerical format to the nearest whole pound and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Where there have been </a:t>
          </a:r>
          <a:r>
            <a:rPr lang="en-GB" sz="900" b="1" u="none">
              <a:solidFill>
                <a:schemeClr val="tx1"/>
              </a:solidFill>
              <a:latin typeface="Arial" panose="020B0604020202020204" pitchFamily="34" charset="0"/>
              <a:cs typeface="Arial" panose="020B0604020202020204" pitchFamily="34" charset="0"/>
            </a:rPr>
            <a:t>no</a:t>
          </a:r>
          <a:r>
            <a:rPr lang="en-GB" sz="900" b="1">
              <a:solidFill>
                <a:schemeClr val="tx1"/>
              </a:solidFill>
              <a:latin typeface="Arial" panose="020B0604020202020204" pitchFamily="34" charset="0"/>
              <a:cs typeface="Arial" panose="020B0604020202020204" pitchFamily="34" charset="0"/>
            </a:rPr>
            <a:t> subscriptions in the tax year or current year subscriptions have been transferred to another ISA manager, insert 0</a:t>
          </a:r>
        </a:p>
      </xdr:txBody>
    </xdr:sp>
    <xdr:clientData/>
  </xdr:twoCellAnchor>
  <xdr:twoCellAnchor>
    <xdr:from>
      <xdr:col>19</xdr:col>
      <xdr:colOff>214320</xdr:colOff>
      <xdr:row>0</xdr:row>
      <xdr:rowOff>361950</xdr:rowOff>
    </xdr:from>
    <xdr:to>
      <xdr:col>19</xdr:col>
      <xdr:colOff>1900245</xdr:colOff>
      <xdr:row>0</xdr:row>
      <xdr:rowOff>3457575</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58493033" y="361950"/>
          <a:ext cx="1685925" cy="30956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Amount of Subscriptions Used to Buy Insurance</a:t>
          </a:r>
        </a:p>
        <a:p>
          <a:r>
            <a:rPr lang="en-GB" sz="900" b="1">
              <a:latin typeface="Arial" panose="020B0604020202020204" pitchFamily="34" charset="0"/>
              <a:cs typeface="Arial" panose="020B0604020202020204" pitchFamily="34" charset="0"/>
            </a:rPr>
            <a:t>Insert the amount of subscriptions used to purchase insurance products within the reported tax year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This amount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also be included within the Amount Subscribed to Stocks &amp; Shares ISA/JISA or the Amount Subscribed to Cash ISA/JISA field</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Amounts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a:t>
          </a:r>
          <a:r>
            <a:rPr lang="en-GB" sz="900" b="1">
              <a:latin typeface="Arial" panose="020B0604020202020204" pitchFamily="34" charset="0"/>
              <a:cs typeface="Arial" panose="020B0604020202020204" pitchFamily="34" charset="0"/>
            </a:rPr>
            <a:t>in </a:t>
          </a:r>
          <a:r>
            <a:rPr lang="en-GB" sz="900" b="1" u="none">
              <a:solidFill>
                <a:schemeClr val="tx1"/>
              </a:solidFill>
              <a:latin typeface="Arial" panose="020B0604020202020204" pitchFamily="34" charset="0"/>
              <a:cs typeface="Arial" panose="020B0604020202020204" pitchFamily="34" charset="0"/>
            </a:rPr>
            <a:t>numerical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a:t>
          </a:r>
          <a:r>
            <a:rPr lang="en-GB" sz="900" b="1"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Spaces, Currency or Minus Symbols</a:t>
          </a:r>
        </a:p>
      </xdr:txBody>
    </xdr:sp>
    <xdr:clientData/>
  </xdr:twoCellAnchor>
  <xdr:twoCellAnchor>
    <xdr:from>
      <xdr:col>20</xdr:col>
      <xdr:colOff>114300</xdr:colOff>
      <xdr:row>0</xdr:row>
      <xdr:rowOff>357188</xdr:rowOff>
    </xdr:from>
    <xdr:to>
      <xdr:col>20</xdr:col>
      <xdr:colOff>2862262</xdr:colOff>
      <xdr:row>0</xdr:row>
      <xdr:rowOff>3462338</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60864750" y="357188"/>
          <a:ext cx="2747962" cy="31051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Total Amount Subscribed</a:t>
          </a:r>
        </a:p>
        <a:p>
          <a:r>
            <a:rPr lang="en-GB" sz="900" b="1">
              <a:latin typeface="Arial" panose="020B0604020202020204" pitchFamily="34" charset="0"/>
              <a:cs typeface="Arial" panose="020B0604020202020204" pitchFamily="34" charset="0"/>
            </a:rPr>
            <a:t>Insert the total amount of subscriptions made to ISA/JISA type within the reported tax year </a:t>
          </a:r>
        </a:p>
        <a:p>
          <a:r>
            <a:rPr lang="en-GB" sz="900" b="1">
              <a:latin typeface="Arial" panose="020B0604020202020204" pitchFamily="34" charset="0"/>
              <a:cs typeface="Arial" panose="020B0604020202020204" pitchFamily="34" charset="0"/>
            </a:rPr>
            <a:t>e.g. </a:t>
          </a:r>
          <a:r>
            <a:rPr lang="en-GB" sz="900" b="1">
              <a:solidFill>
                <a:schemeClr val="tx1"/>
              </a:solidFill>
              <a:latin typeface="Arial" panose="020B0604020202020204" pitchFamily="34" charset="0"/>
              <a:cs typeface="Arial" panose="020B0604020202020204" pitchFamily="34" charset="0"/>
            </a:rPr>
            <a:t>for stocks &amp; shares ISA/JISA the amount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the same as the Amount Subscribed to Stocks &amp; Shares ISA/JISA field (the same applies to Cash ISA/JISA &amp; Innovative Finance ISA)</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Subscriptions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reported in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numerical format </a:t>
          </a:r>
          <a:r>
            <a:rPr lang="en-GB" sz="900" b="1">
              <a:latin typeface="Arial" panose="020B0604020202020204" pitchFamily="34" charset="0"/>
              <a:cs typeface="Arial" panose="020B0604020202020204" pitchFamily="34" charset="0"/>
            </a:rPr>
            <a:t>to the nearest whole pound and NOT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Where investor holds multiple ISA/JISA types, report each ISA/JISA type on a separate data entry (row), including investors aged over 16 who hold both a Cash ISA &amp; Cash JISA. </a:t>
          </a:r>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report multiple ISA/JISA types on the same investor data entry (row)</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matured CTF accounts</a:t>
          </a:r>
          <a:r>
            <a:rPr lang="en-GB" sz="900" b="1" baseline="0">
              <a:solidFill>
                <a:schemeClr val="tx1"/>
              </a:solidFill>
              <a:latin typeface="Arial" panose="020B0604020202020204" pitchFamily="34" charset="0"/>
              <a:cs typeface="Arial" panose="020B0604020202020204" pitchFamily="34" charset="0"/>
            </a:rPr>
            <a:t> insert 0</a:t>
          </a:r>
          <a:endParaRPr lang="en-GB" sz="900" b="1">
            <a:solidFill>
              <a:schemeClr val="tx1"/>
            </a:solidFill>
            <a:latin typeface="Arial" panose="020B0604020202020204" pitchFamily="34" charset="0"/>
            <a:cs typeface="Arial" panose="020B0604020202020204" pitchFamily="34" charset="0"/>
          </a:endParaRPr>
        </a:p>
      </xdr:txBody>
    </xdr:sp>
    <xdr:clientData/>
  </xdr:twoCellAnchor>
  <xdr:twoCellAnchor>
    <xdr:from>
      <xdr:col>21</xdr:col>
      <xdr:colOff>209550</xdr:colOff>
      <xdr:row>0</xdr:row>
      <xdr:rowOff>476250</xdr:rowOff>
    </xdr:from>
    <xdr:to>
      <xdr:col>21</xdr:col>
      <xdr:colOff>1862134</xdr:colOff>
      <xdr:row>0</xdr:row>
      <xdr:rowOff>3457574</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64012763" y="476250"/>
          <a:ext cx="1652584" cy="298132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Date of 1st Subscription</a:t>
          </a:r>
        </a:p>
        <a:p>
          <a:r>
            <a:rPr lang="en-GB" sz="900" b="1">
              <a:latin typeface="Arial" panose="020B0604020202020204" pitchFamily="34" charset="0"/>
              <a:cs typeface="Arial" panose="020B0604020202020204" pitchFamily="34" charset="0"/>
            </a:rPr>
            <a:t>For each ISA type insert the date the first subscription was made to that ISA within the tax year. Where current year subscriptions have been transferred in, insert the notification date on the transfer form</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JISA </a:t>
          </a:r>
          <a:r>
            <a:rPr lang="en-GB" sz="900" b="1">
              <a:solidFill>
                <a:schemeClr val="tx1"/>
              </a:solidFill>
              <a:latin typeface="Arial" panose="020B0604020202020204" pitchFamily="34" charset="0"/>
              <a:cs typeface="Arial" panose="020B0604020202020204" pitchFamily="34" charset="0"/>
            </a:rPr>
            <a:t>subscriptions or</a:t>
          </a:r>
          <a:r>
            <a:rPr lang="en-GB" sz="900" b="1" baseline="0">
              <a:solidFill>
                <a:schemeClr val="tx1"/>
              </a:solidFill>
              <a:latin typeface="Arial" panose="020B0604020202020204" pitchFamily="34" charset="0"/>
              <a:cs typeface="Arial" panose="020B0604020202020204" pitchFamily="34" charset="0"/>
            </a:rPr>
            <a:t> matured CTF accounts </a:t>
          </a:r>
          <a:r>
            <a:rPr lang="en-GB" sz="900" b="1">
              <a:solidFill>
                <a:schemeClr val="tx1"/>
              </a:solidFill>
              <a:latin typeface="Arial" panose="020B0604020202020204" pitchFamily="34" charset="0"/>
              <a:cs typeface="Arial" panose="020B0604020202020204" pitchFamily="34" charset="0"/>
            </a:rPr>
            <a:t>only</a:t>
          </a:r>
          <a:r>
            <a:rPr lang="en-GB" sz="900" b="1">
              <a:solidFill>
                <a:srgbClr val="0070C0"/>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insert the date for the tax year when the account was </a:t>
          </a:r>
          <a:r>
            <a:rPr lang="en-GB" sz="900" b="1">
              <a:solidFill>
                <a:schemeClr val="tx1"/>
              </a:solidFill>
              <a:latin typeface="Arial" panose="020B0604020202020204" pitchFamily="34" charset="0"/>
              <a:cs typeface="Arial" panose="020B0604020202020204" pitchFamily="34" charset="0"/>
            </a:rPr>
            <a:t>opened and leave </a:t>
          </a:r>
          <a:r>
            <a:rPr lang="en-GB" sz="900" b="1" u="sng">
              <a:solidFill>
                <a:schemeClr val="tx1"/>
              </a:solidFill>
              <a:latin typeface="Arial" panose="020B0604020202020204" pitchFamily="34" charset="0"/>
              <a:cs typeface="Arial" panose="020B0604020202020204" pitchFamily="34" charset="0"/>
            </a:rPr>
            <a:t>BLANK</a:t>
          </a:r>
          <a:r>
            <a:rPr lang="en-GB" sz="900" b="1">
              <a:solidFill>
                <a:schemeClr val="tx1"/>
              </a:solidFill>
              <a:latin typeface="Arial" panose="020B0604020202020204" pitchFamily="34" charset="0"/>
              <a:cs typeface="Arial" panose="020B0604020202020204" pitchFamily="34" charset="0"/>
            </a:rPr>
            <a:t> for subsequent tax year returns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DDMMYYYY e.g. 03081966</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Spaces or Dividers</a:t>
          </a:r>
        </a:p>
      </xdr:txBody>
    </xdr:sp>
    <xdr:clientData/>
  </xdr:twoCellAnchor>
  <xdr:twoCellAnchor>
    <xdr:from>
      <xdr:col>22</xdr:col>
      <xdr:colOff>219084</xdr:colOff>
      <xdr:row>0</xdr:row>
      <xdr:rowOff>361950</xdr:rowOff>
    </xdr:from>
    <xdr:to>
      <xdr:col>22</xdr:col>
      <xdr:colOff>1905008</xdr:colOff>
      <xdr:row>0</xdr:row>
      <xdr:rowOff>3457575</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65727272" y="361950"/>
          <a:ext cx="1685924" cy="30956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Share Transfer Amount</a:t>
          </a:r>
        </a:p>
        <a:p>
          <a:r>
            <a:rPr lang="en-GB" sz="900" b="1">
              <a:latin typeface="Arial" panose="020B0604020202020204" pitchFamily="34" charset="0"/>
              <a:cs typeface="Arial" panose="020B0604020202020204" pitchFamily="34" charset="0"/>
            </a:rPr>
            <a:t>Insert the market value of any transfers from an approved SAYE option scheme or share incentive plan on the date of </a:t>
          </a:r>
          <a:r>
            <a:rPr lang="en-GB" sz="900" b="1">
              <a:solidFill>
                <a:schemeClr val="tx1"/>
              </a:solidFill>
              <a:latin typeface="Arial" panose="020B0604020202020204" pitchFamily="34" charset="0"/>
              <a:cs typeface="Arial" panose="020B0604020202020204" pitchFamily="34" charset="0"/>
            </a:rPr>
            <a:t>transfer. 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also be included within the Amount Subscribed to Stocks &amp; Shares ISA field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Values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reported in </a:t>
          </a:r>
          <a:r>
            <a:rPr lang="en-GB" sz="900" b="1" u="none">
              <a:solidFill>
                <a:schemeClr val="tx1"/>
              </a:solidFill>
              <a:latin typeface="Arial" panose="020B0604020202020204" pitchFamily="34" charset="0"/>
              <a:cs typeface="Arial" panose="020B0604020202020204" pitchFamily="34" charset="0"/>
            </a:rPr>
            <a:t>numerical</a:t>
          </a:r>
          <a:r>
            <a:rPr lang="en-GB" sz="900" b="1" u="none" baseline="0">
              <a:solidFill>
                <a:schemeClr val="tx1"/>
              </a:solidFill>
              <a:latin typeface="Arial" panose="020B0604020202020204" pitchFamily="34" charset="0"/>
              <a:cs typeface="Arial" panose="020B0604020202020204" pitchFamily="34" charset="0"/>
            </a:rPr>
            <a:t>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a:t>
          </a:r>
          <a:r>
            <a:rPr lang="en-GB" sz="900" b="1">
              <a:solidFill>
                <a:schemeClr val="tx1"/>
              </a:solidFill>
              <a:latin typeface="Arial" panose="020B0604020202020204" pitchFamily="34" charset="0"/>
              <a:cs typeface="Arial" panose="020B0604020202020204" pitchFamily="34" charset="0"/>
            </a:rPr>
            <a:t>ude Commas, Spaces, Currency or Minus Symbols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a:t>
          </a:r>
          <a:r>
            <a:rPr lang="en-GB" sz="900" b="1" u="none">
              <a:solidFill>
                <a:schemeClr val="tx1"/>
              </a:solidFill>
              <a:latin typeface="Arial" panose="020B0604020202020204" pitchFamily="34" charset="0"/>
              <a:cs typeface="Arial" panose="020B0604020202020204" pitchFamily="34" charset="0"/>
            </a:rPr>
            <a:t>no</a:t>
          </a:r>
          <a:r>
            <a:rPr lang="en-GB" sz="900" b="1">
              <a:solidFill>
                <a:schemeClr val="tx1"/>
              </a:solidFill>
              <a:latin typeface="Arial" panose="020B0604020202020204" pitchFamily="34" charset="0"/>
              <a:cs typeface="Arial" panose="020B0604020202020204" pitchFamily="34" charset="0"/>
            </a:rPr>
            <a:t> such stocks &amp; shares ISA transfers were made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23</xdr:col>
      <xdr:colOff>195270</xdr:colOff>
      <xdr:row>0</xdr:row>
      <xdr:rowOff>361950</xdr:rowOff>
    </xdr:from>
    <xdr:to>
      <xdr:col>23</xdr:col>
      <xdr:colOff>2062169</xdr:colOff>
      <xdr:row>0</xdr:row>
      <xdr:rowOff>3457575</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67827533" y="361950"/>
          <a:ext cx="1866899" cy="30956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Stocks &amp; Shares ISA/JISA Market Value</a:t>
          </a:r>
        </a:p>
        <a:p>
          <a:r>
            <a:rPr lang="en-GB" sz="900" b="1">
              <a:latin typeface="Arial" panose="020B0604020202020204" pitchFamily="34" charset="0"/>
              <a:cs typeface="Arial" panose="020B0604020202020204" pitchFamily="34" charset="0"/>
            </a:rPr>
            <a:t>Insert the aggregate market value of all assets (including cash) held in the stocks &amp; shares ISA/JISA on the 5th April  for the </a:t>
          </a:r>
          <a:r>
            <a:rPr lang="en-GB" sz="900" b="1">
              <a:solidFill>
                <a:schemeClr val="tx1"/>
              </a:solidFill>
              <a:latin typeface="Arial" panose="020B0604020202020204" pitchFamily="34" charset="0"/>
              <a:cs typeface="Arial" panose="020B0604020202020204" pitchFamily="34" charset="0"/>
            </a:rPr>
            <a:t>reported tax year or any other date </a:t>
          </a:r>
          <a:r>
            <a:rPr lang="en-GB" sz="900" b="1" u="none">
              <a:solidFill>
                <a:schemeClr val="tx1"/>
              </a:solidFill>
              <a:latin typeface="Arial" panose="020B0604020202020204" pitchFamily="34" charset="0"/>
              <a:cs typeface="Arial" panose="020B0604020202020204" pitchFamily="34" charset="0"/>
            </a:rPr>
            <a:t>no</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earlier than 5th October within the reported tax year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Values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reported in </a:t>
          </a:r>
          <a:r>
            <a:rPr lang="en-GB" sz="900" b="1" u="none">
              <a:solidFill>
                <a:schemeClr val="tx1"/>
              </a:solidFill>
              <a:latin typeface="Arial" panose="020B0604020202020204" pitchFamily="34" charset="0"/>
              <a:cs typeface="Arial" panose="020B0604020202020204" pitchFamily="34" charset="0"/>
            </a:rPr>
            <a:t>numerical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a:t>
          </a:r>
        </a:p>
        <a:p>
          <a:r>
            <a:rPr lang="en-GB" sz="900" b="1">
              <a:latin typeface="Arial" panose="020B0604020202020204" pitchFamily="34" charset="0"/>
              <a:cs typeface="Arial" panose="020B0604020202020204" pitchFamily="34" charset="0"/>
            </a:rPr>
            <a:t>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the stocks &amp; shares ISA/JISA was closed during the reported tax year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24</xdr:col>
      <xdr:colOff>185744</xdr:colOff>
      <xdr:row>0</xdr:row>
      <xdr:rowOff>466724</xdr:rowOff>
    </xdr:from>
    <xdr:to>
      <xdr:col>24</xdr:col>
      <xdr:colOff>1843093</xdr:colOff>
      <xdr:row>0</xdr:row>
      <xdr:rowOff>3457575</xdr:rowOff>
    </xdr:to>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70084957" y="466724"/>
          <a:ext cx="1657349" cy="2990851"/>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Cash ISA/JISA Market Value</a:t>
          </a:r>
        </a:p>
        <a:p>
          <a:r>
            <a:rPr lang="en-GB" sz="900" b="1">
              <a:latin typeface="Arial" panose="020B0604020202020204" pitchFamily="34" charset="0"/>
              <a:cs typeface="Arial" panose="020B0604020202020204" pitchFamily="34" charset="0"/>
            </a:rPr>
            <a:t>Insert the aggregate market value of all assets held in </a:t>
          </a:r>
        </a:p>
        <a:p>
          <a:r>
            <a:rPr lang="en-GB" sz="900" b="1">
              <a:latin typeface="Arial" panose="020B0604020202020204" pitchFamily="34" charset="0"/>
              <a:cs typeface="Arial" panose="020B0604020202020204" pitchFamily="34" charset="0"/>
            </a:rPr>
            <a:t>the cash ISA/JISA on the </a:t>
          </a:r>
        </a:p>
        <a:p>
          <a:r>
            <a:rPr lang="en-GB" sz="900" b="1">
              <a:latin typeface="Arial" panose="020B0604020202020204" pitchFamily="34" charset="0"/>
              <a:cs typeface="Arial" panose="020B0604020202020204" pitchFamily="34" charset="0"/>
            </a:rPr>
            <a:t>5th April  for the reported tax year or any </a:t>
          </a:r>
          <a:r>
            <a:rPr lang="en-GB" sz="900" b="1" u="none">
              <a:solidFill>
                <a:schemeClr val="tx1"/>
              </a:solidFill>
              <a:latin typeface="Arial" panose="020B0604020202020204" pitchFamily="34" charset="0"/>
              <a:cs typeface="Arial" panose="020B0604020202020204" pitchFamily="34" charset="0"/>
            </a:rPr>
            <a:t>other date no earlier than 5th October within the reported tax year</a:t>
          </a:r>
        </a:p>
        <a:p>
          <a:endParaRPr lang="en-GB" sz="900" b="1" u="none">
            <a:solidFill>
              <a:schemeClr val="tx1"/>
            </a:solidFill>
            <a:latin typeface="Arial" panose="020B0604020202020204" pitchFamily="34" charset="0"/>
            <a:cs typeface="Arial" panose="020B0604020202020204" pitchFamily="34" charset="0"/>
          </a:endParaRPr>
        </a:p>
        <a:p>
          <a:r>
            <a:rPr lang="en-GB" sz="900" b="1" u="none">
              <a:solidFill>
                <a:schemeClr val="tx1"/>
              </a:solidFill>
              <a:latin typeface="Arial" panose="020B0604020202020204" pitchFamily="34" charset="0"/>
              <a:cs typeface="Arial" panose="020B0604020202020204" pitchFamily="34" charset="0"/>
            </a:rPr>
            <a:t>Values MUST be </a:t>
          </a:r>
          <a:r>
            <a:rPr lang="en-GB" sz="900" b="1">
              <a:latin typeface="Arial" panose="020B0604020202020204" pitchFamily="34" charset="0"/>
              <a:cs typeface="Arial" panose="020B0604020202020204" pitchFamily="34" charset="0"/>
            </a:rPr>
            <a:t>reported in </a:t>
          </a:r>
          <a:r>
            <a:rPr lang="en-GB" sz="900" b="1" u="none">
              <a:solidFill>
                <a:schemeClr val="tx1"/>
              </a:solidFill>
              <a:latin typeface="Arial" panose="020B0604020202020204" pitchFamily="34" charset="0"/>
              <a:cs typeface="Arial" panose="020B0604020202020204" pitchFamily="34" charset="0"/>
            </a:rPr>
            <a:t>numerical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Commas, Spaces, Currency or Minus Symbols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the cash ISA/JISA was closed during the reported tax year leave insert</a:t>
          </a:r>
          <a:r>
            <a:rPr lang="en-GB" sz="900" b="1">
              <a:solidFill>
                <a:schemeClr val="tx1"/>
              </a:solidFill>
              <a:latin typeface="Arial" panose="020B0604020202020204" pitchFamily="34" charset="0"/>
              <a:cs typeface="Arial" panose="020B0604020202020204" pitchFamily="34" charset="0"/>
            </a:rPr>
            <a:t> 0</a:t>
          </a:r>
        </a:p>
      </xdr:txBody>
    </xdr:sp>
    <xdr:clientData/>
  </xdr:twoCellAnchor>
  <xdr:twoCellAnchor>
    <xdr:from>
      <xdr:col>25</xdr:col>
      <xdr:colOff>228608</xdr:colOff>
      <xdr:row>0</xdr:row>
      <xdr:rowOff>342900</xdr:rowOff>
    </xdr:from>
    <xdr:to>
      <xdr:col>25</xdr:col>
      <xdr:colOff>2362208</xdr:colOff>
      <xdr:row>0</xdr:row>
      <xdr:rowOff>3457576</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72180458" y="342900"/>
          <a:ext cx="2133600" cy="311467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Innovative Finance ISA Market Value</a:t>
          </a:r>
        </a:p>
        <a:p>
          <a:r>
            <a:rPr lang="en-GB" sz="900" b="1">
              <a:latin typeface="Arial" panose="020B0604020202020204" pitchFamily="34" charset="0"/>
              <a:cs typeface="Arial" panose="020B0604020202020204" pitchFamily="34" charset="0"/>
            </a:rPr>
            <a:t>Insert the aggregate market value of all assets held in the innovative finance ISA including the outstanding balance of innovative finance loans, securities or debentures (capital amounts outstanding plus any interest due but unpaid) on the 5th April  for the reported tax year or any other date </a:t>
          </a:r>
          <a:r>
            <a:rPr lang="en-GB" sz="900" b="1" u="none">
              <a:solidFill>
                <a:schemeClr val="tx1"/>
              </a:solidFill>
              <a:latin typeface="Arial" panose="020B0604020202020204" pitchFamily="34" charset="0"/>
              <a:cs typeface="Arial" panose="020B0604020202020204" pitchFamily="34" charset="0"/>
            </a:rPr>
            <a:t>no</a:t>
          </a:r>
          <a:r>
            <a:rPr lang="en-GB" sz="900" b="1">
              <a:latin typeface="Arial" panose="020B0604020202020204" pitchFamily="34" charset="0"/>
              <a:cs typeface="Arial" panose="020B0604020202020204" pitchFamily="34" charset="0"/>
            </a:rPr>
            <a:t> earlier than 5th October within the reported tax year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Values</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reported in </a:t>
          </a:r>
          <a:r>
            <a:rPr lang="en-GB" sz="900" b="1" u="none">
              <a:solidFill>
                <a:schemeClr val="tx1"/>
              </a:solidFill>
              <a:latin typeface="Arial" panose="020B0604020202020204" pitchFamily="34" charset="0"/>
              <a:cs typeface="Arial" panose="020B0604020202020204" pitchFamily="34" charset="0"/>
            </a:rPr>
            <a:t>numerical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 Spaces, Currency or Minus Symbols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the innovative finance ISA was closed during the reported tax year insert 0</a:t>
          </a:r>
        </a:p>
      </xdr:txBody>
    </xdr:sp>
    <xdr:clientData/>
  </xdr:twoCellAnchor>
  <xdr:twoCellAnchor>
    <xdr:from>
      <xdr:col>26</xdr:col>
      <xdr:colOff>233367</xdr:colOff>
      <xdr:row>0</xdr:row>
      <xdr:rowOff>476250</xdr:rowOff>
    </xdr:from>
    <xdr:to>
      <xdr:col>26</xdr:col>
      <xdr:colOff>2043117</xdr:colOff>
      <xdr:row>0</xdr:row>
      <xdr:rowOff>3457575</xdr:rowOff>
    </xdr:to>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74809355" y="476250"/>
          <a:ext cx="1809750" cy="29813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Insurance Market Value</a:t>
          </a:r>
        </a:p>
        <a:p>
          <a:r>
            <a:rPr lang="en-GB" sz="900" b="1">
              <a:latin typeface="Arial" panose="020B0604020202020204" pitchFamily="34" charset="0"/>
              <a:cs typeface="Arial" panose="020B0604020202020204" pitchFamily="34" charset="0"/>
            </a:rPr>
            <a:t>Insert the aggregate market value of the insurance policies held within the ISA/JISA for the reported tax year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policies of insurance report the surrender value</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also be included within the ISA/JISA Market Value field</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Values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in </a:t>
          </a:r>
          <a:r>
            <a:rPr lang="en-GB" sz="900" b="1" u="none">
              <a:solidFill>
                <a:schemeClr val="tx1"/>
              </a:solidFill>
              <a:latin typeface="Arial" panose="020B0604020202020204" pitchFamily="34" charset="0"/>
              <a:cs typeface="Arial" panose="020B0604020202020204" pitchFamily="34" charset="0"/>
            </a:rPr>
            <a:t>numerical</a:t>
          </a:r>
          <a:r>
            <a:rPr lang="en-GB" sz="900" b="1" u="none" baseline="0">
              <a:solidFill>
                <a:schemeClr val="tx1"/>
              </a:solidFill>
              <a:latin typeface="Arial" panose="020B0604020202020204" pitchFamily="34" charset="0"/>
              <a:cs typeface="Arial" panose="020B0604020202020204" pitchFamily="34" charset="0"/>
            </a:rPr>
            <a:t> format </a:t>
          </a:r>
          <a:r>
            <a:rPr lang="en-GB" sz="900" b="1">
              <a:latin typeface="Arial" panose="020B0604020202020204" pitchFamily="34" charset="0"/>
              <a:cs typeface="Arial" panose="020B0604020202020204" pitchFamily="34" charset="0"/>
            </a:rPr>
            <a:t>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a:t>
          </a:r>
        </a:p>
        <a:p>
          <a:r>
            <a:rPr lang="en-GB" sz="900" b="1">
              <a:latin typeface="Arial" panose="020B0604020202020204" pitchFamily="34" charset="0"/>
              <a:cs typeface="Arial" panose="020B0604020202020204" pitchFamily="34" charset="0"/>
            </a:rPr>
            <a:t>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 Spaces, Currency or Minus Symbols </a:t>
          </a:r>
        </a:p>
      </xdr:txBody>
    </xdr:sp>
    <xdr:clientData/>
  </xdr:twoCellAnchor>
  <xdr:twoCellAnchor>
    <xdr:from>
      <xdr:col>27</xdr:col>
      <xdr:colOff>180978</xdr:colOff>
      <xdr:row>0</xdr:row>
      <xdr:rowOff>361950</xdr:rowOff>
    </xdr:from>
    <xdr:to>
      <xdr:col>27</xdr:col>
      <xdr:colOff>1733553</xdr:colOff>
      <xdr:row>0</xdr:row>
      <xdr:rowOff>3457575</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77023916" y="361950"/>
          <a:ext cx="1552575" cy="30956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Closure Date</a:t>
          </a:r>
        </a:p>
        <a:p>
          <a:r>
            <a:rPr lang="en-GB" sz="900" b="1">
              <a:latin typeface="Arial" panose="020B0604020202020204" pitchFamily="34" charset="0"/>
              <a:cs typeface="Arial" panose="020B0604020202020204" pitchFamily="34" charset="0"/>
            </a:rPr>
            <a:t>For Cash ISA accounts insert the closure date if the account closed within the reported tax year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latin typeface="Arial" panose="020B0604020202020204" pitchFamily="34" charset="0"/>
              <a:cs typeface="Arial" panose="020B0604020202020204" pitchFamily="34" charset="0"/>
            </a:rPr>
            <a:t> applicable leave</a:t>
          </a:r>
          <a:r>
            <a:rPr lang="en-GB" sz="900" b="1" baseline="0">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BLANK</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Stocks &amp; Shares ISA or Innovative Finance ISA accounts leave </a:t>
          </a:r>
          <a:r>
            <a:rPr lang="en-GB" sz="900" b="1" u="sng">
              <a:solidFill>
                <a:schemeClr val="tx1"/>
              </a:solidFill>
              <a:latin typeface="Arial" panose="020B0604020202020204" pitchFamily="34" charset="0"/>
              <a:cs typeface="Arial" panose="020B0604020202020204" pitchFamily="34" charset="0"/>
            </a:rPr>
            <a:t>BLANK</a:t>
          </a:r>
          <a:r>
            <a:rPr lang="en-GB" sz="900" b="1">
              <a:solidFill>
                <a:schemeClr val="tx1"/>
              </a:solidFill>
              <a:latin typeface="Arial" panose="020B0604020202020204" pitchFamily="34" charset="0"/>
              <a:cs typeface="Arial" panose="020B0604020202020204" pitchFamily="34" charset="0"/>
            </a:rPr>
            <a:t> (however inserting a closure date is acceptable)</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DDMMYYYY </a:t>
          </a:r>
          <a:r>
            <a:rPr lang="en-GB" sz="900" b="1">
              <a:latin typeface="Arial" panose="020B0604020202020204" pitchFamily="34" charset="0"/>
              <a:cs typeface="Arial" panose="020B0604020202020204" pitchFamily="34" charset="0"/>
            </a:rPr>
            <a:t>e.g. 03081966</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insert a closure date for </a:t>
          </a:r>
          <a:r>
            <a:rPr lang="en-GB" sz="900" b="1">
              <a:solidFill>
                <a:schemeClr val="tx1"/>
              </a:solidFill>
              <a:latin typeface="Arial" panose="020B0604020202020204" pitchFamily="34" charset="0"/>
              <a:cs typeface="Arial" panose="020B0604020202020204" pitchFamily="34" charset="0"/>
            </a:rPr>
            <a:t>JISA accounts</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Spaces or Dividers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1095375</xdr:colOff>
      <xdr:row>4</xdr:row>
      <xdr:rowOff>95250</xdr:rowOff>
    </xdr:to>
    <xdr:pic>
      <xdr:nvPicPr>
        <xdr:cNvPr id="2624" name="Picture 3">
          <a:extLst>
            <a:ext uri="{FF2B5EF4-FFF2-40B4-BE49-F238E27FC236}">
              <a16:creationId xmlns:a16="http://schemas.microsoft.com/office/drawing/2014/main" id="{00000000-0008-0000-0100-0000400A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Data"/>
  <dimension ref="A1:AC3"/>
  <sheetViews>
    <sheetView tabSelected="1" workbookViewId="0">
      <pane ySplit="2" topLeftCell="A6" activePane="bottomLeft" state="frozen"/>
      <selection pane="bottomLeft" activeCell="A3" sqref="A3"/>
    </sheetView>
  </sheetViews>
  <sheetFormatPr defaultColWidth="0" defaultRowHeight="14.25" x14ac:dyDescent="0.2"/>
  <cols>
    <col min="1" max="1" width="41.7109375" style="40" customWidth="1"/>
    <col min="2" max="2" width="70.7109375" style="40" customWidth="1"/>
    <col min="3" max="3" width="25.7109375" style="40" customWidth="1"/>
    <col min="4" max="4" width="30.7109375" style="6" customWidth="1"/>
    <col min="5" max="5" width="40.5703125" style="6" customWidth="1"/>
    <col min="6" max="6" width="25.7109375" style="6" customWidth="1"/>
    <col min="7" max="8" width="60.7109375" style="6" customWidth="1"/>
    <col min="9" max="9" width="25.7109375" style="6" customWidth="1"/>
    <col min="10" max="10" width="40.5703125" style="6" customWidth="1"/>
    <col min="11" max="11" width="55.7109375" style="6" customWidth="1"/>
    <col min="12" max="14" width="56.7109375" style="6" customWidth="1"/>
    <col min="15" max="15" width="55.7109375" style="6" customWidth="1"/>
    <col min="16" max="16" width="26.7109375" style="6" customWidth="1"/>
    <col min="17" max="17" width="34.5703125" style="46" customWidth="1"/>
    <col min="18" max="20" width="29.7109375" style="46" customWidth="1"/>
    <col min="21" max="21" width="41.5703125" style="46" customWidth="1"/>
    <col min="22" max="22" width="28.7109375" style="6" customWidth="1"/>
    <col min="23" max="23" width="29.7109375" style="46" customWidth="1"/>
    <col min="24" max="24" width="31.7109375" style="46" customWidth="1"/>
    <col min="25" max="25" width="28.7109375" style="46" customWidth="1"/>
    <col min="26" max="26" width="36.7109375" style="46" customWidth="1"/>
    <col min="27" max="27" width="31.7109375" style="45" customWidth="1"/>
    <col min="28" max="28" width="26.7109375" style="8" customWidth="1"/>
    <col min="29" max="16384" width="9.140625" style="41" hidden="1"/>
  </cols>
  <sheetData>
    <row r="1" spans="1:29" s="43" customFormat="1" ht="273" customHeight="1" thickBot="1" x14ac:dyDescent="0.25">
      <c r="A1" s="9" t="e">
        <f t="array" aca="1" ref="A1" ca="1">"Error Count: "&amp;SUM(IF(ISBLANK(A.),0,IF((LEN(A.)&lt;&gt;8)+(ISERROR(SEARCH(LEFT(A.),"Z")))+(1-(ISNUMBER(VALUE(MID(A.,2,1)))))+(1-(ISNUMBER(VALUE(MID(A.,3,1)))))+(1-(ISNUMBER(VALUE(MID(A.,4,1)))))+(1-(ISNUMBER(VALUE(MID(A.,5,1)))))+(MID(A.,6,1)&lt;&gt;"/")+(1-(ISNUMBER(VALUE(MID(A.,7,1)))))+(1-(ISNUMBER(VALUE(MID(A.,8,1)))))+ (1-(ISERROR(SEARCH("~~", A.))))+ (1-(ISERROR(SEARCH("~?", A.))))+ (1-(ISERROR(SEARCH("~*", A.)))),1,0)))&amp;CHAR(10)&amp;"1st Error Row: "&amp;SMALL(IF(ISBLANK(A.),FALSE,IF((SIGN(LEN(A.)&lt;&gt;8)+(ISERROR(SEARCH(LEFT(A.),"Z")))+(1-(ISNUMBER(VALUE(MID(A.,2,1)))))+(1-(ISNUMBER(VALUE(MID(A.,3,1)))))+(1-(ISNUMBER(VALUE(MID(A.,4,1)))))+(1-(ISNUMBER(VALUE(MID(A.,5,1)))))+(MID(A.,6,1)&lt;&gt;"/")+(1-(ISNUMBER(VALUE(MID(A.,7,1)))))+(1-(ISNUMBER(VALUE(MID(A.,8,1)))))+ (1-(ISERROR(SEARCH("~~", A.))))+ (1-(ISERROR(SEARCH("~?", A.))))+ (1-(ISERROR(SEARCH("~*", A.))))),ROW(A.),FALSE)),1)</f>
        <v>#NUM!</v>
      </c>
      <c r="B1" s="10" t="e">
        <f t="array" aca="1" ref="B1" ca="1">"Error Count: "&amp;SUM(IF(ISBLANK(B.),0, IF((LEN(B.)&gt;50) + (TRIM(B.)="SEE ABOVE") + (TRIM(B.)="SEE LINE ABOVE") + (TRIM(B.)="N/K") + (TRIM(B.)="U/K")+ (TRIM(B.)="NOT APPLICABLE") + (TRIM(B.)="N/A") + (TRIM(B.)="DITTO") + (TRIM(B.)="NOT KNOWN") + (TRIM(B.)="UNKNOWN"),1,0))) &amp; CHAR(10) &amp; "1st Error Row: " &amp; SMALL(IF(ISBLANK(B.),FALSE,IF((SIGN(LEN(B.)&gt;50) + (TRIM(B.)="SEE ABOVE") + (TRIM(B.)="SEE LINE ABOVE") + (TRIM(B.)="N/K") + (TRIM(B.)="U/K")+ (TRIM(B.)="NOT APPLICABLE") + (TRIM(B.)="N/A") + (TRIM(B.)="DITTO") + (TRIM(B.)="NOT KNOWN") + (TRIM(B.)="UNKNOWN")),ROW(B.),FALSE)),1)</f>
        <v>#NUM!</v>
      </c>
      <c r="C1" s="10" t="e">
        <f t="array" aca="1" ref="C1" ca="1">"Error Count: "&amp;SUM(IF(ISBLANK(C.),0,IF((LEN(C.)&lt;&gt;4)+(ISERROR(SEARCH(LEFT(C.,2),"20")))+(1-(ISNUMBER(VALUE(MID(C.,3,1)))))+(1-(ISNUMBER(VALUE(MID(C.,4,1)))))+ (1-(ISERROR(SEARCH("~~", C.))))+ (1-(ISERROR(SEARCH("~?", C.))))+ (1-(ISERROR(SEARCH("~*", C.)))),1,0)))&amp;CHAR(10)&amp;"1st Error Row: "&amp;SMALL(IF(ISBLANK(C.),FALSE,IF((SIGN(LEN(C.)&lt;&gt;4)+(ISERROR(SEARCH(LEFT(C.,2),"20")))+(1-(ISNUMBER(VALUE(MID(C.,3,1)))))+(1-(ISNUMBER(VALUE(MID(C.,4,1)))))+ (1-(ISERROR(SEARCH("~~", C.))))+ (1-(ISERROR(SEARCH("~?", C.))))+ (1-(ISERROR(SEARCH("~*", C.))))),ROW(C.),FALSE)),1)</f>
        <v>#NUM!</v>
      </c>
      <c r="D1" s="10" t="e">
        <f t="array" aca="1" ref="D1" ca="1">"Error Count: "&amp;SUM(IF(ISBLANK(D.),0,IF((LEN(D.)&gt;20)+ (TRIM(D.)="SEE ABOVE") + (TRIM(D.)="SEE LINE ABOVE") + (TRIM(D.)="N/K") + (TRIM(D.)="U/K")+ (TRIM(D.)="NOT APPLICABLE") + (TRIM(D.)="N/A")+ (TRIM(D.)="DITTO") + (TRIM(D.)="NOT KNOWN") + (TRIM(D.)="UNKNOWN"),1,0))) &amp; CHAR(10) &amp; "1st Error Row: "&amp;SMALL(IF(ISBLANK(D.),FALSE, IF((SIGN(LEN(D.)&gt;19)+ (TRIM(D.)="SEE ABOVE") + (TRIM(D.)="SEE LINE ABOVE") + (TRIM(D.)="N/K") + (TRIM(D.)="U/K")+ (TRIM(D.)="NOT APPLICABLE") + (TRIM(D.)="N/A")+ (TRIM(D.)="DITTO") + (TRIM(D.)="NOT KNOWN") + (TRIM(D.)="UNKNOWN")),ROW(D.),FALSE)),1)</f>
        <v>#NUM!</v>
      </c>
      <c r="E1" s="10" t="e">
        <f t="array" aca="1" ref="E1" ca="1">"Error Count: " &amp; SUM(IF(ISBLANK(E.),0,IF((LEN(E.)&lt;&gt;1)+(ISERROR(SEARCH(LEFT(E.),"ABCDEFGHSTXYZ")))+ (1-(ISERROR(SEARCH("~~", E.))))+ (1-(ISERROR(SEARCH("~?", E.))))+ (1-(ISERROR(SEARCH("~*", E.)))),1,0))) &amp; CHAR(10) &amp; "1st Error Row: " &amp; SMALL(IF(ISBLANK(E.),FALSE, IF((SIGN(LEN(E.)&lt;&gt;1)+(ISERROR(SEARCH(LEFT(E.),"ABCDEFGHSTXYZ")))+ (1-(ISERROR(SEARCH("~~", E.))))+ (1-(ISERROR(SEARCH("~?", E.))))+ (1-(ISERROR(SEARCH("~*", E.))))),ROW(E.),FALSE)),1)</f>
        <v>#NUM!</v>
      </c>
      <c r="F1" s="11" t="e">
        <f t="array" aca="1" ref="F1" ca="1">"Error Count: "&amp;SUM(IF(ISBLANK(F.),0, IF((LEN(F.)&gt;10) + (TRIM(F.)="SEE ABOVE") + (TRIM(F.)="SEE LINE ABOVE") + (TRIM(F.)="N/K") + (TRIM(F.)="U/K")+ (TRIM(F.)="NOT APPLICABLE") + (TRIM(F.)="N/A")+ (TRIM(F.)="DITTO") + (TRIM(F.)="NOT KNOWN") + (TRIM(F.)="UNKNOWN"),1,0))) &amp; CHAR(10) &amp; "1st Error Row: " &amp; SMALL(IF(ISBLANK(F.),FALSE,IF((SIGN(LEN(F.)&gt;10) + (TRIM(F.)="SEE ABOVE") + (TRIM(F.)="SEE LINE ABOVE") + (TRIM(F.)="N/K") + (TRIM(F.)="U/K")+ (TRIM(F.)="NOT APPLICABLE") + (TRIM(F.)="N/A")+ (TRIM(F.)="DITTO") + (TRIM(F.)="NOT KNOWN") + (TRIM(F.)="UNKNOWN")),ROW(F.),FALSE)),1)</f>
        <v>#NUM!</v>
      </c>
      <c r="G1" s="10" t="e">
        <f t="array" aca="1" ref="G1" ca="1">"Error Count: "&amp;SUM(IF(ISBLANK(G.),0, IF((LEN(G.)&gt;50) + (TRIM(G.)="SEE ABOVE") + (TRIM(G.)="SEE LINE ABOVE") + (TRIM(G.)="N/K") + (TRIM(G.)="U/K")+ (TRIM(G.)="NOT APPLICABLE") + (TRIM(G.)="N/A")+ (TRIM(G.)="DITTO") + (TRIM(G.)="NOT KNOWN") + (TRIM(G.)="UNKNOWN"),1,0))) &amp; CHAR(10) &amp; "1st Error Row: " &amp; SMALL(IF(ISBLANK(G.),FALSE,IF((SIGN(LEN(G.)&gt;50) + (TRIM(G.)="SEE ABOVE") + (TRIM(G.)="SEE LINE ABOVE") + (TRIM(G.)="N/K") + (TRIM(G.)="U/K")+ (TRIM(G.)="NOT APPLICABLE") + (TRIM(G.)="N/A")+ (TRIM(G.)="DITTO") + (TRIM(G.)="NOT KNOWN") + (TRIM(G.)="UNKNOWN")),ROW(G.),FALSE)),1)</f>
        <v>#NUM!</v>
      </c>
      <c r="H1" s="10" t="e">
        <f t="array" aca="1" ref="H1" ca="1">"Error Count: "&amp;SUM(IF(ISBLANK(H.),0, IF((LEN(H.)&gt;50) + (TRIM(H.)="SEE ABOVE") + (TRIM(H.)="SEE LINE ABOVE") + (TRIM(H.)="N/K") + (TRIM(H.)="U/K")+ (TRIM(H.)="NOT APPLICABLE") + (TRIM(H.)="N/A")+ (TRIM(H.)="DITTO") + (TRIM(H.)="NOT KNOWN") + (TRIM(H.)="UNKNOWN"),1,0))) &amp; CHAR(10) &amp; "1st Error Row: " &amp; SMALL(IF(ISBLANK(H.),FALSE,IF((SIGN(LEN(H.)&gt;50) + (TRIM(H.)="SEE ABOVE") + (TRIM(H.)="SEE LINE ABOVE") + (TRIM(H.)="N/K") + (TRIM(H.)="U/K")+ (TRIM(H.)="NOT APPLICABLE") + (TRIM(H.)="N/A")+ (TRIM(H.)="DITTO") + (TRIM(H.)="NOT KNOWN") + (TRIM(H.)="UNKNOWN")),ROW(H.),FALSE)),1)</f>
        <v>#NUM!</v>
      </c>
      <c r="I1" s="10" t="e">
        <f t="array" aca="1" ref="I1" ca="1">"Error Count: "&amp;SUM(IF(ISBLANK(I.),0, IF((LEN(I.)&lt;&gt;8)+(ISERROR(SEARCH(LEFT(I.),"0123")))+(ISERROR(SEARCH(MID(I.,2,1),"0123456789")))+(ISERROR(SEARCH(MID(I.,3,1),"01")))+(ISERROR(SEARCH(MID(I.,4,1),"0123456789")))+(ISERROR(SEARCH(MID(I.,5,1),"12")))+(ISERROR(SEARCH(MID(I.,6,1),"0123456789")))+(ISERROR(SEARCH(MID(I.,7,1),"0123456789")))+(ISERROR(SEARCH(RIGHT(I.),"0123456789")))+ (1-(ISERROR(SEARCH("~~", I.))))+ (1-(ISERROR(SEARCH("~?", I.))))+ (1-(ISERROR(SEARCH("~*", I.)))),1,0)))&amp;CHAR(10)&amp;"1st Error Row: "&amp;SMALL(IF(ISBLANK(I.),FALSE,IF((SIGN(LEN(I.)&lt;&gt;8)+(ISERROR(SEARCH(LEFT(I.),"0123")))+(ISERROR(SEARCH(MID(I.,2,1),"0123456789")))+(ISERROR(SEARCH(MID(I.,3,1),"01")))+(ISERROR(SEARCH(MID(I.,4,1),"0123456789")))+(ISERROR(SEARCH(MID(I.,5,1),"12")))+(ISERROR(SEARCH(MID(I.,6,1),"0123456789")))+(ISERROR(SEARCH(MID(I.,7,1),"0123456789")))+(ISERROR(SEARCH(RIGHT(I.),"0123456789")))+ (1-(ISERROR(SEARCH("~~", I.))))+ (1-(ISERROR(SEARCH("~?", I.))))+ (1-(ISERROR(SEARCH("~*", I.))))),ROW(I.),FALSE)),1)</f>
        <v>#NUM!</v>
      </c>
      <c r="J1" s="10" t="e">
        <f t="array" aca="1" ref="J1" ca="1">"Error Count: "&amp;SUM((IF(ISBLANK(J.),0,IF((LEN(J.)&lt;8)+(LEN(J.)&gt;9)+(ISERROR(SEARCH(LEFT(J.),"abceghjklmnopqrstwxyz")))+(ISERROR(SEARCH(MID(J.,2,1),"abceghjklmnpqrstwxyz")))+(1-(ISNUMBER(VALUE(MID(J.,3,1)))))+(1-(ISNUMBER(VALUE(MID(J.,4,1)))))+(1-(ISNUMBER(VALUE(MID(J.,5,1)))))+(1-(ISNUMBER(VALUE(MID(J.,6,1)))))+(1-(ISNUMBER(VALUE(MID(J.,7,1)))))+(1-(ISNUMBER(VALUE(MID(J.,8,1)))))+(ISERROR(SEARCH(MID(J.,9,1),"abcd ")))+(1-(ISERROR(SEARCH("BG",LEFT(J.,2)))))+(1-(ISERROR(SEARCH("GB",LEFT(J.,2)))))+(1-(ISERROR(SEARCH("KN",LEFT(J.,2)))))+(1-(ISERROR(SEARCH("NK",LEFT(J.,2)))))+(1-(ISERROR(SEARCH("NT",LEFT(J.,2)))))+(1-(ISERROR(SEARCH("TN",LEFT(J.,2)))))+(1-(ISERROR(SEARCH("ZZ",LEFT(J.,2)))))
+ (1-(ISERROR(SEARCH("~~", J.))))+ (1-(ISERROR(SEARCH("~*", J.))))+ (1-(ISERROR(SEARCH("~?", J.)))),1,0))))&amp;CHAR(10)&amp;"1st Error Row: "&amp;SMALL(IF(ISBLANK(J.),FALSE,IF((SIGN(LEN(J.)&lt;8)+(LEN(J.)&gt;9)+(ISERROR(SEARCH(LEFT(J.),"abceghjklmnopqrstwxyz")))+(ISERROR(SEARCH(MID(J.,2,1),"abceghjklmnpqrstwxyz")))+(1-(ISNUMBER(VALUE(MID(J.,3,1)))))+(1-(ISNUMBER(VALUE(MID(J.,4,1)))))+(1-(ISNUMBER(VALUE(MID(J.,5,1)))))+(1-(ISNUMBER(VALUE(MID(J.,6,1)))))+(1-(ISNUMBER(VALUE(MID(J.,7,1)))))+(1-(ISNUMBER(VALUE(MID(J.,8,1)))))+(ISERROR(SEARCH(MID(J.,9,1),"abcd ")))+(1-(ISERROR(SEARCH("BG",LEFT(J.,2)))))+(1-(ISERROR(SEARCH("GB",LEFT(J.,2)))))+(1-(ISERROR(SEARCH("KN",LEFT(J.,2)))))+(1-(ISERROR(SEARCH("NK",LEFT(J.,2)))))+(1-(ISERROR(SEARCH("NT",LEFT(J.,2)))))+(1-(ISERROR(SEARCH("TN",LEFT(J.,2)))))+(1-(ISERROR(SEARCH("ZZ",LEFT(J.,2)))))+ (1-(ISERROR(SEARCH("~~", J.))))+ (1-(ISERROR(SEARCH("~*", J.))))+ (1-(ISERROR(SEARCH("~?", J.))))),ROW(J.),FALSE)),1)</f>
        <v>#NUM!</v>
      </c>
      <c r="K1" s="10" t="e">
        <f t="array" aca="1" ref="K1" ca="1">"Error Count: "&amp;SUM(IF(ISBLANK(K.),0,IF((LEN(K.)&gt;40)+(1-(ISERROR(SEARCH(CHAR(10),K.))))+(1-(ISERROR(SEARCH(CHAR(13),K.))))+(1-(ISERROR(SEARCH("@",K.))))+(1-(ISERROR(SEARCH("C/O",LEFT(K.,3)))))+(TRIM(K.)="GONE AWAY")+(TRIM(K.)="N/A")+(TRIM(K.)="NOT APPLICABLE")+(TRIM(K.)="SEE ABOVE")+(TRIM(K.)="SEE LINE ABOVE")+(TRIM(K.)="N/K")+(TRIM(K.)="DITTO")+(TRIM(K.)="NOT KNOWN")+(TRIM(K.)="UNKNOWN"),1,0)))&amp;CHAR(10)&amp;"1st Error Row: "&amp;SMALL(IF(ISBLANK(K.),FALSE,IF((SIGN(LEN(K.)&gt;40)+(1-(ISERROR(SEARCH(CHAR(10),K.))))+(1-(ISERROR(SEARCH(CHAR(13),K.))))+(1-(ISERROR(SEARCH("@",K.))))+(1-(ISERROR(SEARCH("C/O",LEFT(K.,3)))))+(TRIM(K.)="GONE AWAY")+(TRIM(K.)="N/A")+(TRIM(K.)="NOT APPLICABLE")+(TRIM(K.)="SEE ABOVE")+(TRIM(K.)="SEE LINE ABOVE")+(TRIM(K.)="N/K")+(TRIM(K.)="DITTO")+(TRIM(K.)="NOT KNOWN")+(TRIM(K.)="UNKNOWN")),ROW(K.),FALSE)),1)</f>
        <v>#NUM!</v>
      </c>
      <c r="L1" s="10" t="e">
        <f t="array" aca="1" ref="L1" ca="1">"Error Count: "&amp;SUM(IF(ISBLANK(L.),0,IF((LEN(L.)&gt;40)+(1-(ISERROR(SEARCH(CHAR(10),L.))))+(1-(ISERROR(SEARCH(CHAR(13),L.))))+(1-(ISERROR(SEARCH("@",L.))))+(1-(ISERROR(SEARCH("C/O",LEFT(L.,3)))))+(TRIM(L.)="GONE AWAY")+(TRIM(L.)="N/A")+(TRIM(L.)="NOT APPLICABLE")+(TRIM(L.)="SEE ABOVE")+(TRIM(L.)="SEE LINE ABOVE")+(TRIM(L.)="N/K")+(TRIM(L.)="DITTO")+(TRIM(L.)="NOT KNOWN")+(TRIM(L.)="UNKNOWN"),1,0)))&amp;CHAR(10)&amp;"1st Error Row: "&amp;SMALL(IF(ISBLANK(L.),FALSE,IF((SIGN(LEN(L.)&gt;40)+(1-(ISERROR(SEARCH(CHAR(10),L.))))+(1-(ISERROR(SEARCH(CHAR(13),L.))))+(1-(ISERROR(SEARCH("@",L.))))+(1-(ISERROR(SEARCH("C/O",LEFT(L.,3)))))+(TRIM(L.)="GONE AWAY")+(TRIM(L.)="N/A")+(TRIM(L.)="NOT APPLICABLE")+(TRIM(L.)="SEE ABOVE")+(TRIM(L.)="SEE LINE ABOVE")+(TRIM(L.)="N/K")+(TRIM(L.)="DITTO")+(TRIM(L.)="NOT KNOWN")+(TRIM(L.)="UNKNOWN")),ROW(L.),FALSE)),1)</f>
        <v>#NUM!</v>
      </c>
      <c r="M1" s="10" t="e">
        <f t="array" aca="1" ref="M1" ca="1">"Error Count: "&amp;SUM(IF(ISBLANK(M.),0,IF((LEN(M.)&gt;40)+(1-(ISERROR(SEARCH(CHAR(10),M.))))+(1-(ISERROR(SEARCH(CHAR(13),M.))))+(1-(ISERROR(SEARCH("@",M.))))+(1-(ISERROR(SEARCH("C/O",LEFT(M.,3)))))+(TRIM(M.)="GONE AWAY")+(TRIM(M.)="N/A")+(TRIM(M.)="NOT APPLICABLE")+(TRIM(M.)="SEE ABOVE")+(TRIM(M.)="SEE LINE ABOVE")+(TRIM(M.)="N/K")+(TRIM(M.)="DITTO")+(TRIM(M.)="NOT KNOWN")+(TRIM(M.)="UNKNOWN"),1,0)))&amp;CHAR(10)&amp;"1st Error Row: "&amp;SMALL(IF(ISBLANK(M.),FALSE,IF((SIGN(LEN(M.)&gt;40)+(1-(ISERROR(SEARCH(CHAR(10),M.))))+(1-(ISERROR(SEARCH(CHAR(13),M.))))+(1-(ISERROR(SEARCH("@",M.))))+(1-(ISERROR(SEARCH("C/O",LEFT(M.,3)))))+(TRIM(M.)="GONE AWAY")+(TRIM(M.)="N/A")+(TRIM(M.)="NOT APPLICABLE")+(TRIM(M.)="SEE ABOVE")+(TRIM(M.)="SEE LINE ABOVE")+(TRIM(M.)="N/K")+(TRIM(M.)="DITTO")+(TRIM(M.)="NOT KNOWN")+(TRIM(M.)="UNKNOWN")),ROW(M.),FALSE)),1)</f>
        <v>#NUM!</v>
      </c>
      <c r="N1" s="10" t="e">
        <f t="array" aca="1" ref="N1" ca="1">"Error Count: "&amp;SUM(IF(ISBLANK(N.),0,IF((LEN(N.)&gt;40)+(1-(ISERROR(SEARCH(CHAR(10),N.))))+(1-(ISERROR(SEARCH(CHAR(13),N.))))+(1-(ISERROR(SEARCH("@",N.))))+(1-(ISERROR(SEARCH("C/O",LEFT(N.,3)))))+(TRIM(N.)="GONE AWAY")+(TRIM(N.)="N/A")+(TRIM(N.)="NOT APPLICABLE")+(TRIM(N.)="SEE ABOVE")+(TRIM(N.)="SEE LINE ABOVE")+(TRIM(N.)="N/K")+(TRIM(N.)="DITTO")+(TRIM(N.)="NOT KNOWN")+(TRIM(N.)="UNKNOWN"),1,0)))&amp;CHAR(10)&amp;"1st Error Row: "&amp;SMALL(IF(ISBLANK(N.),FALSE,IF((SIGN(LEN(N.)&gt;40)+(1-(ISERROR(SEARCH(CHAR(10),N.))))+(1-(ISERROR(SEARCH(CHAR(13),N.))))+(1-(ISERROR(SEARCH("@",N.))))+(1-(ISERROR(SEARCH("C/O",LEFT(N.,3)))))+(TRIM(N.)="GONE AWAY")+(TRIM(N.)="N/A")+(TRIM(N.)="NOT APPLICABLE")+(TRIM(N.)="SEE ABOVE")+(TRIM(N.)="SEE LINE ABOVE")+(TRIM(N.)="N/K")+(TRIM(N.)="DITTO")+(TRIM(N.)="NOT KNOWN")+(TRIM(N.)="UNKNOWN")),ROW(N.),FALSE)),1)</f>
        <v>#NUM!</v>
      </c>
      <c r="O1" s="10" t="e">
        <f t="array" aca="1" ref="O1" ca="1">"Error Count: "&amp;SUM(IF(ISBLANK(O.),0,IF((LEN(O.)&gt;40)+(1-(ISERROR(SEARCH(CHAR(10),O.))))+(1-(ISERROR(SEARCH(CHAR(13),O.))))+(1-(ISERROR(SEARCH("@",O.))))+(1-(ISERROR(SEARCH("C/O",LEFT(O.,3)))))+(TRIM(O.)="GONE AWAY")+(TRIM(O.)="N/A")+(TRIM(O.)="NOT APPLICABLE")+(TRIM(O.)="SEE ABOVE")+(TRIM(O.)="SEE LINE ABOVE")+(TRIM(O.)="N/K")+(TRIM(O.)="DITTO")+(TRIM(O.)="NOT KNOWN")+(TRIM(O.)="UNKNOWN"),1,0)))&amp;CHAR(10)&amp;"1st Error Row: "&amp;SMALL(IF(ISBLANK(O.),FALSE,IF((SIGN(LEN(O.)&gt;40)+(1-(ISERROR(SEARCH(CHAR(10),O.))))+(1-(ISERROR(SEARCH(CHAR(13),O.))))+(1-(ISERROR(SEARCH("@",O.))))+(1-(ISERROR(SEARCH("C/O",LEFT(O.,3)))))+(TRIM(O.)="GONE AWAY")+(TRIM(O.)="N/A")+(TRIM(O.)="NOT APPLICABLE")+(TRIM(O.)="SEE ABOVE")+(TRIM(O.)="SEE LINE ABOVE")+(TRIM(O.)="N/K")+(TRIM(O.)="DITTO")+(TRIM(O.)="NOT KNOWN")+(TRIM(O.)="UNKNOWN")),ROW(O.),FALSE)),1)</f>
        <v>#NUM!</v>
      </c>
      <c r="P1" s="10" t="e">
        <f t="array" aca="1" ref="P1" ca="1">"Error Count: "&amp;SUM(IF(ISBLANK(P.),0, IF((LEN(P.)&gt;8)+((ISERROR(SEARCH("0",P.)))*(ISERROR(SEARCH("1",P.)))*(ISERROR(SEARCH("2",P.)))*(ISERROR(SEARCH("3",P.)))*(ISERROR(SEARCH("4",P.)))*(ISERROR(SEARCH("5",P.)))*(ISERROR(SEARCH("6",P.)))*(ISERROR(SEARCH("7",P.)))*(ISERROR(SEARCH("8",P.)))*(ISERROR(SEARCH("9",P.))))+ (1-(ISERROR(SEARCH("~~", P.))))+(1-(ISERROR(SEARCH("~*",P.))))+(1-(ISERROR(SEARCH("~?",P.)))),1,0)))&amp;CHAR(10)&amp;"1st Error Row: "&amp;SMALL(IF(ISBLANK(P.),FALSE,IF((SIGN(LEN(P.)&gt;8)+((ISERROR(SEARCH("0",P.)))*(ISERROR(SEARCH("1",P.)))*(ISERROR(SEARCH("2",P.)))*(ISERROR(SEARCH("3",P.)))*(ISERROR(SEARCH("4",P.)))*(ISERROR(SEARCH("5",P.)))*(ISERROR(SEARCH("6",P.)))*(ISERROR(SEARCH("7",P.)))*(ISERROR(SEARCH("8",P.)))*(ISERROR(SEARCH("9",P.))))+ (1-(ISERROR(SEARCH("~~", P.))))+(1-(ISERROR(SEARCH("~*",P.))))+(1-(ISERROR(SEARCH("~?",P.))))),ROW(P.),FALSE)),1)</f>
        <v>#NUM!</v>
      </c>
      <c r="Q1" s="10" t="e">
        <f t="array" aca="1" ref="Q1" ca="1">"Error Count: "&amp;SUM(IF(ISBLANK(Q.),0,IF((ISNUMBER(Q.)*((Q.)&gt;99999999))+(ISTEXT(Q.)*(LEN(Q.)&gt;8))+(ISTEXT(Q.)*(1-(ISERROR(SEARCH(".", Q.)))))+(ISERROR(SEARCH(LEFT(Q.),"0123456789")))+(ISERROR(SEARCH(RIGHT(Q.),"0123456789")))+(1-(ISNUMBER(VALUE(Q.))))+ (1-(ISERROR(SEARCH(" ", Q.))))+ (1-(ISERROR(SEARCH(",", Q.))))+ (1-(ISERROR(SEARCH("~~", Q.))))+ (1-(ISERROR(SEARCH("~?", Q.))))+ (1-(ISERROR(SEARCH("~*", Q.)))),1,0)))&amp;CHAR(10)&amp;"1st Error Row: "&amp;SMALL(IF(ISBLANK(Q.),FALSE,IF((SIGN(ISNUMBER(Q.)*((Q.)&gt;99999999))+(ISTEXT(Q.)*(LEN(Q.)&gt;8))+(ISTEXT(Q.)*(1-(ISERROR(SEARCH(".", Q.)))))+(ISERROR(SEARCH(LEFT(Q.),"0123456789")))+(ISERROR(SEARCH(RIGHT(Q.),"0123456789")))+(1-(ISNUMBER(VALUE(Q.))))+ (1-(ISERROR(SEARCH(" ", Q.))))+ (1-(ISERROR(SEARCH(",", Q.))))+ (1-(ISERROR(SEARCH("~~", Q.))))+ (1-(ISERROR(SEARCH("~?", Q.))))+ (1-(ISERROR(SEARCH("~*", Q.))))),ROW(Q.),FALSE)),1)</f>
        <v>#NUM!</v>
      </c>
      <c r="R1" s="10" t="e">
        <f t="array" aca="1" ref="R1" ca="1">"Error Count: "&amp;SUM(IF(ISBLANK(R.),0,IF((ISNUMBER(R.)*((R.)&gt;99999999))+(ISTEXT(R.)*(LEN(R.)&gt;8))+(ISTEXT(R.)*(1-(ISERROR(SEARCH(".", R.)))))+(ISERROR(SEARCH(LEFT(R.),"0123456789")))+(ISERROR(SEARCH(RIGHT(R.),"0123456789")))+(1-(ISNUMBER(VALUE(R.))))+ (1-(ISERROR(SEARCH(" ", R.))))+ (1-(ISERROR(SEARCH(",", R.))))+ (1-(ISERROR(SEARCH("~~", R.))))+ (1-(ISERROR(SEARCH("~?", R.))))+ (1-(ISERROR(SEARCH("~*", R.)))),1,0)))&amp;CHAR(10)&amp;"1st Error Row: "&amp;SMALL(IF(ISBLANK(R.),FALSE,IF((SIGN(ISNUMBER(R.)*((R.)&gt;99999999))+(ISTEXT(R.)*(LEN(R.)&gt;8))+(ISTEXT(R.)*(1-(ISERROR(SEARCH(".", R.)))))+(ISERROR(SEARCH(LEFT(R.),"0123456789")))+(ISERROR(SEARCH(RIGHT(R.),"0123456789")))+(1-(ISNUMBER(VALUE(R.))))+ (1-(ISERROR(SEARCH(" ", R.))))+ (1-(ISERROR(SEARCH(",", R.))))+ (1-(ISERROR(SEARCH("~~", R.))))+ (1-(ISERROR(SEARCH("~?", R.))))+ (1-(ISERROR(SEARCH("~*", R.))))),ROW(R.),FALSE)),1)</f>
        <v>#NUM!</v>
      </c>
      <c r="S1" s="10" t="e">
        <f t="array" aca="1" ref="S1" ca="1">"Error Count: "&amp;SUM(IF(ISBLANK(S.),0,IF((ISNUMBER(S.)*((S.)&gt;99999999))+(ISTEXT(S.)*(LEN(S.)&gt;8))+(ISTEXT(S.)*(1-(ISERROR(SEARCH(".", S.)))))+(ISERROR(SEARCH(LEFT(S.),"0123456789")))+(ISERROR(SEARCH(RIGHT(S.),"0123456789")))+(1-(ISNUMBER(VALUE(S.))))+ (1-(ISERROR(SEARCH(" ", S.))))+ (1-(ISERROR(SEARCH(",", S.))))+ (1-(ISERROR(SEARCH("~~", S.))))+ (1-(ISERROR(SEARCH("~?", S.))))+ (1-(ISERROR(SEARCH("~*", S.)))),1,0)))&amp;CHAR(10)&amp;"1st Error Row: "&amp;SMALL(IF(ISBLANK(S.),FALSE,IF((SIGN(ISNUMBER(S.)*((S.)&gt;99999999))+(ISTEXT(S.)*(LEN(S.)&gt;8))+(ISTEXT(S.)*(1-(ISERROR(SEARCH(".", S.)))))+(ISERROR(SEARCH(LEFT(S.),"0123456789")))+(ISERROR(SEARCH(RIGHT(S.),"0123456789")))+(1-(ISNUMBER(VALUE(S.))))+ (1-(ISERROR(SEARCH(" ", S.))))+ (1-(ISERROR(SEARCH(",", S.))))+ (1-(ISERROR(SEARCH("~~", S.))))+ (1-(ISERROR(SEARCH("~?", S.))))+ (1-(ISERROR(SEARCH("~*", S.))))),ROW(S.),FALSE)),1)</f>
        <v>#NUM!</v>
      </c>
      <c r="T1" s="10" t="e">
        <f t="array" aca="1" ref="T1" ca="1">"Error Count: "&amp;SUM(IF(ISBLANK(T.),0,IF((ISNUMBER(T.)*((T.)&gt;99999999))+(ISTEXT(T.)*(LEN(T.)&gt;8))+(ISTEXT(T.)*(1-(ISERROR(SEARCH(".", T.)))))+(ISERROR(SEARCH(LEFT(T.),"0123456789")))+(ISERROR(SEARCH(RIGHT(T.),"0123456789")))+(1-(ISNUMBER(VALUE(T.))))+ (1-(ISERROR(SEARCH(" ", T.))))+ (1-(ISERROR(SEARCH(",", T.))))+ (1-(ISERROR(SEARCH("~~", T.))))+ (1-(ISERROR(SEARCH("~?", T.))))+ (1-(ISERROR(SEARCH("~*", T.)))),1,0)))&amp;CHAR(10)&amp;"1st Error Row: "&amp;SMALL(IF(ISBLANK(T.),FALSE,IF((SIGN(ISNUMBER(T.)*((T.)&gt;99999999))+(ISTEXT(T.)*(LEN(T.)&gt;8))+(ISTEXT(T.)*(1-(ISERROR(SEARCH(".", T.)))))+(ISERROR(SEARCH(LEFT(T.),"0123456789")))+(ISERROR(SEARCH(RIGHT(T.),"0123456789")))+(1-(ISNUMBER(VALUE(T.))))+ (1-(ISERROR(SEARCH(" ", T.))))+ (1-(ISERROR(SEARCH(",", T.))))+ (1-(ISERROR(SEARCH("~~", T.))))+ (1-(ISERROR(SEARCH("~?", T.))))+ (1-(ISERROR(SEARCH("~*", T.))))),ROW(T.),FALSE)),1)</f>
        <v>#NUM!</v>
      </c>
      <c r="U1" s="10" t="e">
        <f t="array" aca="1" ref="U1" ca="1">"Error Count: "&amp;SUM(IF(ISBLANK(U.),0,IF((ISNUMBER(U.)*((U.)&gt;99999999))+(ISTEXT(U.)*(LEN(U.)&gt;8))+(ISTEXT(U.)*(1-(ISERROR(SEARCH(".", U.)))))+(ISERROR(SEARCH(LEFT(U.),"0123456789")))+(ISERROR(SEARCH(RIGHT(U.),"0123456789")))+(1-(ISNUMBER(VALUE(U.))))+ (1-(ISERROR(SEARCH(" ", U.))))+ (1-(ISERROR(SEARCH(",", U.))))+ (1-(ISERROR(SEARCH("~~", U.))))+ (1-(ISERROR(SEARCH("~?", U.))))+ (1-(ISERROR(SEARCH("~*", U.)))),1,0)))&amp;CHAR(10)&amp;"1st Error Row: "&amp;SMALL(IF(ISBLANK(U.),FALSE,IF((SIGN(ISNUMBER(U.)*((U.)&gt;99999999))+(ISTEXT(U.)*(LEN(U.)&gt;8))+(ISTEXT(U.)*(1-(ISERROR(SEARCH(".", U.)))))+(ISERROR(SEARCH(LEFT(U.),"0123456789")))+(ISERROR(SEARCH(RIGHT(U.),"0123456789")))+(1-(ISNUMBER(VALUE(U.))))+ (1-(ISERROR(SEARCH(" ", U.))))+ (1-(ISERROR(SEARCH(",", U.))))+ (1-(ISERROR(SEARCH("~~", U.))))+ (1-(ISERROR(SEARCH("~?", U.))))+ (1-(ISERROR(SEARCH("~*", U.))))),ROW(U.),FALSE)),1)</f>
        <v>#NUM!</v>
      </c>
      <c r="V1" s="10" t="e">
        <f t="array" aca="1" ref="V1" ca="1">"Error Count: "&amp;SUM(IF(ISBLANK(V.),0, IF((LEN(V.)&lt;&gt;8)+(ISERROR(SEARCH(LEFT(V.),"0123")))+(ISERROR(SEARCH(MID(V.,2,1),"0123456789")))+(ISERROR(SEARCH(MID(V.,3,1),"01")))+(ISERROR(SEARCH(MID(V.,4,1),"0123456789")))+(ISERROR(SEARCH(MID(V.,5,1),"12")))+(ISERROR(SEARCH(MID(V.,6,1),"0123456789")))+(ISERROR(SEARCH(MID(V.,7,1),"0123456789")))+(ISERROR(SEARCH(RIGHT(V.),"0123456789")))+ (1-(ISERROR(SEARCH("~~", V.))))+ (1-(ISERROR(SEARCH("~?", V.))))+ (1-(ISERROR(SEARCH("~*", V.)))),1,0)))&amp;CHAR(10)&amp;"1st Error Row: "&amp;SMALL(IF(ISBLANK(V.),FALSE,IF((SIGN(LEN(V.)&lt;&gt;8)+(ISERROR(SEARCH(LEFT(V.),"0123")))+(ISERROR(SEARCH(MID(V.,2,1),"0123456789")))+(ISERROR(SEARCH(MID(V.,3,1),"01")))+(ISERROR(SEARCH(MID(V.,4,1),"0123456789")))+(ISERROR(SEARCH(MID(V.,5,1),"12")))+(ISERROR(SEARCH(MID(V.,6,1),"0123456789")))+(ISERROR(SEARCH(MID(V.,7,1),"0123456789")))+(ISERROR(SEARCH(RIGHT(V.),"0123456789")))+ (1-(ISERROR(SEARCH("~~", V.))))+ (1-(ISERROR(SEARCH("~?", V.))))+ (1-(ISERROR(SEARCH("~*", V.))))),ROW(V.),FALSE)),1)</f>
        <v>#NUM!</v>
      </c>
      <c r="W1" s="10" t="e">
        <f t="array" aca="1" ref="W1" ca="1">"Error Count: "&amp;SUM(IF(ISBLANK(W.),0,IF((ISNUMBER(W.)*((W.)&gt;99999999))+(ISTEXT(W.)*(LEN(W.)&gt;8))+(ISTEXT(W.)*(1-(ISERROR(SEARCH(".", W.)))))+(ISERROR(SEARCH(LEFT(W.),"0123456789")))+(ISERROR(SEARCH(RIGHT(W.),"0123456789")))+(1-(ISNUMBER(VALUE(W.))))+ (1-(ISERROR(SEARCH(" ", W.))))+ (1-(ISERROR(SEARCH(",", W.))))+ (1-(ISERROR(SEARCH("~~", W.))))+ (1-(ISERROR(SEARCH("~?", W.))))+ (1-(ISERROR(SEARCH("~*", W.)))),1,0)))&amp;CHAR(10)&amp;"1st Error Row: "&amp;SMALL(IF(ISBLANK(W.),FALSE,IF((SIGN(ISNUMBER(W.)*((W.)&gt;99999999))+(ISTEXT(W.)*(LEN(W.)&gt;8))+(ISTEXT(W.)*(1-(ISERROR(SEARCH(".", W.)))))+(ISERROR(SEARCH(LEFT(W.),"0123456789")))+(ISERROR(SEARCH(RIGHT(W.),"0123456789")))+(1-(ISNUMBER(VALUE(W.))))+ (1-(ISERROR(SEARCH(" ", W.))))+ (1-(ISERROR(SEARCH(",", W.))))+ (1-(ISERROR(SEARCH("~~", W.))))+ (1-(ISERROR(SEARCH("~?", W.))))+ (1-(ISERROR(SEARCH("~*", W.))))),ROW(W.),FALSE)),1)</f>
        <v>#NUM!</v>
      </c>
      <c r="X1" s="10" t="e">
        <f t="array" aca="1" ref="X1" ca="1">"Error Count: "&amp;SUM(IF(ISBLANK(X.),0,IF((ISNUMBER(X.)*((X.)&gt;999999999999999))+(ISTEXT(X.)*(LEN(X.)&gt;20))+(ISTEXT(X.)*(1-(ISERROR(SEARCH(".", X.)))))+(ISERROR(SEARCH(LEFT(X.),"0123456789")))+(ISERROR(SEARCH(RIGHT(X.),"0123456789")))+(1-(ISNUMBER(VALUE(X.))))+ (1-(ISERROR(SEARCH(" ", X.))))+ (1-(ISERROR(SEARCH(",", X.))))+ (1-(ISERROR(SEARCH("~~", X.))))+ (1-(ISERROR(SEARCH("~?", X.))))+ (1-(ISERROR(SEARCH("~*", X.)))),1,0)))&amp;CHAR(10)&amp;"1st Error Row: "&amp;SMALL(IF(ISBLANK(X.),FALSE,IF((SIGN(ISNUMBER(X.)*((X.)&gt;999999999999999))+(ISTEXT(X.)*(LEN(X.)&gt;20))+(ISTEXT(X.)*(1-(ISERROR(SEARCH(".", X.)))))+(ISERROR(SEARCH(LEFT(X.),"0123456789")))+(ISERROR(SEARCH(RIGHT(X.),"0123456789")))+(1-(ISNUMBER(VALUE(X.))))+ (1-(ISERROR(SEARCH(" ", X.))))+ (1-(ISERROR(SEARCH(",", X.))))+ (1-(ISERROR(SEARCH("~~", X.))))+ (1-(ISERROR(SEARCH("~?", X.))))+ (1-(ISERROR(SEARCH("~*", X.))))),ROW(X.),FALSE)),1)</f>
        <v>#NUM!</v>
      </c>
      <c r="Y1" s="10" t="e">
        <f t="array" aca="1" ref="Y1" ca="1">"Error Count: "&amp;SUM(IF(ISBLANK(Y.),0,IF((ISNUMBER(Y.)*((Y.)&gt;9999999999))+(ISTEXT(Y.)*(LEN(Y.)&gt;10))+(ISTEXT(Y.)*(1-(ISERROR(SEARCH(".", Y.)))))+(ISERROR(SEARCH(LEFT(Y.),"0123456789")))+(ISERROR(SEARCH(RIGHT(Y.),"0123456789")))+(1-(ISNUMBER(VALUE(Y.))))+ (1-(ISERROR(SEARCH(" ", Y.))))+ (1-(ISERROR(SEARCH(",", Y.))))+ (1-(ISERROR(SEARCH("~~", Y.))))+ (1-(ISERROR(SEARCH("~?", Y.))))+ (1-(ISERROR(SEARCH("~*", Y.)))),1,0)))&amp;CHAR(10)&amp;"1st Error Row: "&amp;SMALL(IF(ISBLANK(Y.),FALSE,IF((SIGN(ISNUMBER(Y.)*((Y.)&gt;9999999999))+(ISTEXT(Y.)*(LEN(Y.)&gt;10))+(ISTEXT(Y.)*(1-(ISERROR(SEARCH(".", Y.)))))+(ISERROR(SEARCH(LEFT(Y.),"0123456789")))+(ISERROR(SEARCH(RIGHT(Y.),"0123456789")))+(1-(ISNUMBER(VALUE(Y.))))+ (1-(ISERROR(SEARCH(" ", Y.))))+ (1-(ISERROR(SEARCH(",", Y.))))+ (1-(ISERROR(SEARCH("~~", Y.))))+ (1-(ISERROR(SEARCH("~?", Y.))))+ (1-(ISERROR(SEARCH("~*", Y.))))),ROW(Y.),FALSE)),1)</f>
        <v>#NUM!</v>
      </c>
      <c r="Z1" s="10" t="e">
        <f t="array" aca="1" ref="Z1" ca="1">"Error Count: "&amp;SUM(IF(ISBLANK(Z.),0,IF((ISNUMBER(Z.)*((Z.)&gt;9999999999))+(ISTEXT(Z.)*(LEN(Z.)&gt;10))+(ISTEXT(Z.)*(1-(ISERROR(SEARCH(".", Z.)))))+(ISERROR(SEARCH(LEFT(Z.),"0123456789")))+(ISERROR(SEARCH(RIGHT(Z.),"0123456789")))+(1-(ISNUMBER(VALUE(Z.))))+ (1-(ISERROR(SEARCH(" ", Z.))))+ (1-(ISERROR(SEARCH(",", Z.))))+ (1-(ISERROR(SEARCH("~~", Z.))))+ (1-(ISERROR(SEARCH("~?", Z.))))+ (1-(ISERROR(SEARCH("~*", Z.)))),1,0)))&amp;CHAR(10)&amp;"1st Error Row: "&amp;SMALL(IF(ISBLANK(Z.),FALSE,IF((SIGN(ISNUMBER(Z.)*((Z.)&gt;9999999999))+(ISTEXT(Z.)*(LEN(Z.)&gt;10))+(ISTEXT(Z.)*(1-(ISERROR(SEARCH(".", Z.)))))+(ISERROR(SEARCH(LEFT(Z.),"0123456789")))+(ISERROR(SEARCH(RIGHT(Z.),"0123456789")))+(1-(ISNUMBER(VALUE(Z.))))+ (1-(ISERROR(SEARCH(" ", Z.))))+ (1-(ISERROR(SEARCH(",", Z.))))+ (1-(ISERROR(SEARCH("~~", Z.))))+ (1-(ISERROR(SEARCH("~?", Z.))))+ (1-(ISERROR(SEARCH("~*", Z.))))),ROW(Z.),FALSE)),1)</f>
        <v>#NUM!</v>
      </c>
      <c r="AA1" s="10" t="e">
        <f t="array" aca="1" ref="AA1" ca="1">"Error Count: "&amp;SUM(IF(ISBLANK(AA.),0,IF((ISNUMBER(AA.)*((AA.)&gt;999999999999999))+(ISTEXT(AA.)*(LEN(AA.)&gt;20))+(ISTEXT(AA.)*(1-(ISERROR(SEARCH(".", AA.)))))+(ISERROR(SEARCH(LEFT(AA.),"0123456789")))+(ISERROR(SEARCH(RIGHT(AA.),"0123456789")))+(1-(ISNUMBER(VALUE(AA.))))+ (1-(ISERROR(SEARCH(" ", AA.))))+ (1-(ISERROR(SEARCH(",", AA.))))+ (1-(ISERROR(SEARCH("~~", AA.))))+ (1-(ISERROR(SEARCH("~?", AA.))))+ (1-(ISERROR(SEARCH("~*", AA.)))),1,0)))&amp;CHAR(10)&amp;"1st Error Row: "&amp;SMALL(IF(ISBLANK(AA.),FALSE,IF((SIGN(ISNUMBER(AA.)*((AA.)&gt;999999999999999))+(ISTEXT(AA.)*(LEN(AA.)&gt;20))+(ISTEXT(AA.)*(1-(ISERROR(SEARCH(".", AA.)))))+(ISERROR(SEARCH(LEFT(AA.),"0123456789")))+(ISERROR(SEARCH(RIGHT(AA.),"0123456789")))+(1-(ISNUMBER(VALUE(AA.))))+ (1-(ISERROR(SEARCH(" ", AA.))))+ (1-(ISERROR(SEARCH(",", AA.))))+ (1-(ISERROR(SEARCH("~~", AA.))))+ (1-(ISERROR(SEARCH("~?", AA.))))+ (1-(ISERROR(SEARCH("~*", AA.))))),ROW(AA.),FALSE)),1)</f>
        <v>#NUM!</v>
      </c>
      <c r="AB1" s="7" t="e">
        <f t="array" aca="1" ref="AB1" ca="1">"Error Count: "&amp;SUM(IF(ISBLANK(AB.),0, IF((LEN(AB.)&lt;&gt;8)+(ISERROR(SEARCH(LEFT(AB.),"0123")))+(ISERROR(SEARCH(MID(AB.,2,1),"0123456789")))+(ISERROR(SEARCH(MID(AB.,3,1),"01")))+(ISERROR(SEARCH(MID(AB.,4,1),"0123456789")))+(ISERROR(SEARCH(MID(AB.,5,1),"12")))+(ISERROR(SEARCH(MID(AB.,6,1),"0123456789")))+(ISERROR(SEARCH(MID(AB.,7,1),"0123456789")))+(ISERROR(SEARCH(RIGHT(AB.),"0123456789")))+ (1-(ISERROR(SEARCH("~~", AB.))))+ (1-(ISERROR(SEARCH("~?", AB.))))+ (1-(ISERROR(SEARCH("~*", AB.)))),1,0)))&amp;CHAR(10)&amp;"1st Error Row: "&amp;SMALL(IF(ISBLANK(AB.),FALSE,IF((SIGN(LEN(AB.)&lt;&gt;8)+(ISERROR(SEARCH(LEFT(AB.),"0123")))+(ISERROR(SEARCH(MID(AB.,2,1),"0123456789")))+(ISERROR(SEARCH(MID(AB.,3,1),"01")))+(ISERROR(SEARCH(MID(AB.,4,1),"0123456789")))+(ISERROR(SEARCH(MID(AB.,5,1),"12")))+(ISERROR(SEARCH(MID(AB.,6,1),"0123456789")))+(ISERROR(SEARCH(MID(AB.,7,1),"0123456789")))+(ISERROR(SEARCH(RIGHT(AB.),"0123456789")))+ (1-(ISERROR(SEARCH("~~", AB.))))+ (1-(ISERROR(SEARCH("~?", AB.))))+ (1-(ISERROR(SEARCH("~*", AB.))))),ROW(AB.),FALSE)),1)</f>
        <v>#NUM!</v>
      </c>
      <c r="AC1" s="42"/>
    </row>
    <row r="2" spans="1:29" s="43" customFormat="1" ht="78" customHeight="1" thickBot="1" x14ac:dyDescent="0.25">
      <c r="A2" s="30" t="str">
        <f t="array" ref="A2" xml:space="preserve"> IFERROR("ISA Manager Reference" &amp; CHAR(10) &amp; "8 Characters" &amp; CHAR(10) &amp; "MANDATORY FIELD"&amp; CHAR(10) &amp; "("  &amp;SUM(IF((($A$3:$A$3)=""),1,0)) &amp; " Not Completed)","ISA Manager Reference" &amp; CHAR(10) &amp; "8 Characters" &amp; CHAR(10) &amp; "MANDATORY FIELD")</f>
        <v>ISA Manager Reference
8 Characters
MANDATORY FIELD
(1 Not Completed)</v>
      </c>
      <c r="B2" s="30" t="str">
        <f t="array" ref="B2" xml:space="preserve"> IFERROR("ISA Manager's Name" &amp; CHAR(10) &amp; "Max. 50 Characters" &amp; CHAR(10) &amp; "MANDATORY FIELD"&amp; CHAR(10) &amp; "("  &amp;SUM(IF((($B$3:$B$3)=""),1,0)) &amp; " Not Completed)","ISA Manager's Name" &amp; CHAR(10) &amp; "Max. 50 Characters" &amp; CHAR(10) &amp; "MANDATORY FIELD")</f>
        <v>ISA Manager's Name
Max. 50 Characters
MANDATORY FIELD
(1 Not Completed)</v>
      </c>
      <c r="C2" s="30" t="str">
        <f t="array" ref="C2">IFERROR("Tax Year" &amp; CHAR(10) &amp; "4 Characters" &amp; CHAR(10) &amp; "MANDATORY FIELD"&amp; CHAR(10) &amp; "("  &amp;SUM(IF((($C$3:$C$3)=""),1,0)) &amp; " Not Completed)","Tax Year" &amp; CHAR(10) &amp; "4 Characters" &amp; CHAR(10) &amp; "MANDATORY FIELD")</f>
        <v>Tax Year
4 Characters
MANDATORY FIELD
(1 Not Completed)</v>
      </c>
      <c r="D2" s="30" t="str">
        <f t="array" ref="D2">IFERROR("ISA/JISA Account Number" &amp; CHAR(10) &amp; "Max. 20 Characters" &amp; CHAR(10) &amp; "MANDATORY FIELD"&amp; CHAR(10) &amp; "("  &amp;SUM(IF((($D$3:$D$1048576)="")*((($E$3:$E$1048576)&lt;&gt;"")+(($G$3:$G$1048576)&lt;&gt;"")),1,0)) &amp; " Not Completed)","ISA/JISA Account Number" &amp; CHAR(10) &amp; "Max. 20 Characters" &amp; CHAR(10) &amp; "MANDATORY FIELD")</f>
        <v>ISA/JISA Account Number
Max. 20 Characters
MANDATORY FIELD
(0 Not Completed)</v>
      </c>
      <c r="E2" s="30" t="str">
        <f t="array" ref="E2">IFERROR("ISA/JISA Type" &amp; CHAR(10) &amp; "1 Character" &amp; CHAR(10) &amp; "MANDATORY FIELD"&amp; CHAR(10) &amp; "("  &amp;SUM(IF((($E$3:$E$1048576)="")*((($D$3:$D$1048576)&lt;&gt;"")+(($G$3:$G$1048576)&lt;&gt;"")),1,0)) &amp; " Not Completed)","ISA/JISA Type" &amp; CHAR(10) &amp; "1 Character" &amp; CHAR(10) &amp; "MANDATORY FIELD")</f>
        <v>ISA/JISA Type
1 Character
MANDATORY FIELD
(0 Not Completed)</v>
      </c>
      <c r="F2" s="30" t="s">
        <v>150</v>
      </c>
      <c r="G2" s="30" t="str">
        <f t="array" ref="G2">IFERROR("Investor's Forename(s)" &amp; CHAR(10) &amp; "Max. 50 Characters" &amp; CHAR(10) &amp; "MANDATORY FIELD"&amp; CHAR(10) &amp; "("  &amp;SUM(IF((($G$3:$G$1048576)="")*((($E$3:$E$1048576)&lt;&gt;"")+(($H$3:$H$1048576)&lt;&gt;"")),1,0)) &amp; " Not Completed)","Investor's Forename(s)" &amp; CHAR(10) &amp; "Max. 50 Characters" &amp; CHAR(10) &amp; "MANDATORY FIELD")</f>
        <v>Investor's Forename(s)
Max. 50 Characters
MANDATORY FIELD
(0 Not Completed)</v>
      </c>
      <c r="H2" s="30" t="str">
        <f t="array" ref="H2">IFERROR("Investor's Surname" &amp; CHAR(10) &amp; "Max. 50 Characters" &amp; CHAR(10) &amp; "MANDATORY FIELD"&amp; CHAR(10) &amp; "("  &amp;SUM(IF((($H$3:$H$1048576)="")*((($G$3:$G$1048576)&lt;&gt;"")+(($K$3:$K$1048576)&lt;&gt;"")),1,0)) &amp; " Not Completed)","Investor's Surname" &amp; CHAR(10) &amp; "Max. 50 Characters" &amp; CHAR(10) &amp; "MANDATORY FIELD")</f>
        <v>Investor's Surname
Max. 50 Characters
MANDATORY FIELD
(0 Not Completed)</v>
      </c>
      <c r="I2" s="30" t="s">
        <v>108</v>
      </c>
      <c r="J2" s="30" t="s">
        <v>131</v>
      </c>
      <c r="K2" s="30" t="str">
        <f t="array" ref="K2">IFERROR("Investor's Address Line 1" &amp; CHAR(10) &amp; "Max. 40 Characters" &amp; CHAR(10) &amp; "MANDATORY FIELD"&amp; CHAR(10) &amp; "("  &amp;SUM(IF((($K$3:$K$1048576)="")*((($G$3:$G$1048576)&lt;&gt;"")+(($H$3:$H$1048576)&lt;&gt;"")),1,0)) &amp; " Not Completed)","Investor's Address Line 1" &amp; CHAR(10) &amp; "Max. 40 Characters" &amp; CHAR(10) &amp; "MANDATORY FIELD")</f>
        <v>Investor's Address Line 1
Max. 40 Characters
MANDATORY FIELD
(0 Not Completed)</v>
      </c>
      <c r="L2" s="30" t="s">
        <v>151</v>
      </c>
      <c r="M2" s="30" t="s">
        <v>152</v>
      </c>
      <c r="N2" s="30" t="s">
        <v>153</v>
      </c>
      <c r="O2" s="30" t="s">
        <v>154</v>
      </c>
      <c r="P2" s="30" t="s">
        <v>155</v>
      </c>
      <c r="Q2" s="30" t="s">
        <v>109</v>
      </c>
      <c r="R2" s="30" t="s">
        <v>110</v>
      </c>
      <c r="S2" s="30" t="s">
        <v>111</v>
      </c>
      <c r="T2" s="30" t="s">
        <v>112</v>
      </c>
      <c r="U2" s="31" t="s">
        <v>113</v>
      </c>
      <c r="V2" s="30" t="s">
        <v>114</v>
      </c>
      <c r="W2" s="32" t="s">
        <v>115</v>
      </c>
      <c r="X2" s="30" t="s">
        <v>116</v>
      </c>
      <c r="Y2" s="31" t="s">
        <v>117</v>
      </c>
      <c r="Z2" s="31" t="s">
        <v>118</v>
      </c>
      <c r="AA2" s="31" t="s">
        <v>119</v>
      </c>
      <c r="AB2" s="30" t="s">
        <v>120</v>
      </c>
      <c r="AC2" s="44"/>
    </row>
    <row r="3" spans="1:29" ht="14.25" customHeight="1" x14ac:dyDescent="0.2">
      <c r="A3" s="39"/>
      <c r="B3" s="6"/>
      <c r="C3" s="6"/>
      <c r="J3" s="12"/>
      <c r="W3" s="47"/>
    </row>
  </sheetData>
  <sheetProtection algorithmName="SHA-512" hashValue="BwMvHOKOUCcwPu10AdU4kRSiBncwQcBSDzs4iHu8E0/pZdiHzjqgQ2cp8o/I+rSYRdZ50fngxByux2ZDdh7p9Q==" saltValue="g+L0ldVm/yadu6RWW40cqw==" spinCount="100000" sheet="1" objects="1" scenarios="1" formatCells="0" deleteRows="0"/>
  <dataConsolidate/>
  <phoneticPr fontId="1" type="noConversion"/>
  <conditionalFormatting sqref="A1">
    <cfRule type="notContainsErrors" dxfId="35" priority="101" stopIfTrue="1">
      <formula>NOT(ISERROR(A1))</formula>
    </cfRule>
  </conditionalFormatting>
  <conditionalFormatting sqref="K1">
    <cfRule type="notContainsErrors" dxfId="34" priority="104" stopIfTrue="1">
      <formula>NOT(ISERROR(K1))</formula>
    </cfRule>
  </conditionalFormatting>
  <conditionalFormatting sqref="L1">
    <cfRule type="notContainsErrors" dxfId="33" priority="105" stopIfTrue="1">
      <formula>NOT(ISERROR(L1))</formula>
    </cfRule>
  </conditionalFormatting>
  <conditionalFormatting sqref="M1">
    <cfRule type="notContainsErrors" dxfId="32" priority="106" stopIfTrue="1">
      <formula>NOT(ISERROR(M1))</formula>
    </cfRule>
  </conditionalFormatting>
  <conditionalFormatting sqref="P1">
    <cfRule type="notContainsErrors" dxfId="31" priority="111" stopIfTrue="1">
      <formula>NOT(ISERROR(P1))</formula>
    </cfRule>
  </conditionalFormatting>
  <conditionalFormatting sqref="W1">
    <cfRule type="notContainsErrors" dxfId="30" priority="117" stopIfTrue="1">
      <formula>NOT(ISERROR(W1))</formula>
    </cfRule>
  </conditionalFormatting>
  <conditionalFormatting sqref="B1">
    <cfRule type="notContainsErrors" dxfId="29" priority="38" stopIfTrue="1">
      <formula>NOT(ISERROR(B1))</formula>
    </cfRule>
  </conditionalFormatting>
  <conditionalFormatting sqref="C1">
    <cfRule type="notContainsErrors" dxfId="28" priority="37" stopIfTrue="1">
      <formula>NOT(ISERROR(C1))</formula>
    </cfRule>
  </conditionalFormatting>
  <conditionalFormatting sqref="D1">
    <cfRule type="notContainsErrors" dxfId="27" priority="34" stopIfTrue="1">
      <formula>NOT(ISERROR(D1))</formula>
    </cfRule>
  </conditionalFormatting>
  <conditionalFormatting sqref="F1">
    <cfRule type="notContainsErrors" dxfId="26" priority="33" stopIfTrue="1">
      <formula>NOT(ISERROR(F1))</formula>
    </cfRule>
  </conditionalFormatting>
  <conditionalFormatting sqref="G1">
    <cfRule type="notContainsErrors" dxfId="25" priority="32" stopIfTrue="1">
      <formula>NOT(ISERROR(G1))</formula>
    </cfRule>
  </conditionalFormatting>
  <conditionalFormatting sqref="N1">
    <cfRule type="notContainsErrors" dxfId="24" priority="31" stopIfTrue="1">
      <formula>NOT(ISERROR(N1))</formula>
    </cfRule>
  </conditionalFormatting>
  <conditionalFormatting sqref="O1">
    <cfRule type="notContainsErrors" dxfId="23" priority="30" stopIfTrue="1">
      <formula>NOT(ISERROR(O1))</formula>
    </cfRule>
  </conditionalFormatting>
  <conditionalFormatting sqref="Q1">
    <cfRule type="notContainsErrors" dxfId="22" priority="29" stopIfTrue="1">
      <formula>NOT(ISERROR(Q1))</formula>
    </cfRule>
  </conditionalFormatting>
  <conditionalFormatting sqref="Y1">
    <cfRule type="notContainsErrors" dxfId="21" priority="25" stopIfTrue="1">
      <formula>NOT(ISERROR(Y1))</formula>
    </cfRule>
  </conditionalFormatting>
  <conditionalFormatting sqref="X1">
    <cfRule type="notContainsErrors" dxfId="20" priority="24" stopIfTrue="1">
      <formula>NOT(ISERROR(X1))</formula>
    </cfRule>
  </conditionalFormatting>
  <conditionalFormatting sqref="AA1">
    <cfRule type="notContainsErrors" dxfId="19" priority="23" stopIfTrue="1">
      <formula>NOT(ISERROR(AA1))</formula>
    </cfRule>
  </conditionalFormatting>
  <conditionalFormatting sqref="E1">
    <cfRule type="notContainsErrors" dxfId="18" priority="19" stopIfTrue="1">
      <formula>NOT(ISERROR(E1))</formula>
    </cfRule>
  </conditionalFormatting>
  <conditionalFormatting sqref="H1">
    <cfRule type="notContainsErrors" dxfId="17" priority="18" stopIfTrue="1">
      <formula>NOT(ISERROR(H1))</formula>
    </cfRule>
  </conditionalFormatting>
  <conditionalFormatting sqref="I1">
    <cfRule type="notContainsErrors" dxfId="16" priority="17" stopIfTrue="1">
      <formula>NOT(ISERROR(I1))</formula>
    </cfRule>
  </conditionalFormatting>
  <conditionalFormatting sqref="J1">
    <cfRule type="notContainsErrors" dxfId="15" priority="16" stopIfTrue="1">
      <formula>NOT(ISERROR(J1))</formula>
    </cfRule>
  </conditionalFormatting>
  <conditionalFormatting sqref="R1">
    <cfRule type="notContainsErrors" dxfId="14" priority="15" stopIfTrue="1">
      <formula>NOT(ISERROR(R1))</formula>
    </cfRule>
  </conditionalFormatting>
  <conditionalFormatting sqref="S1">
    <cfRule type="notContainsErrors" dxfId="13" priority="14" stopIfTrue="1">
      <formula>NOT(ISERROR(S1))</formula>
    </cfRule>
  </conditionalFormatting>
  <conditionalFormatting sqref="T1">
    <cfRule type="notContainsErrors" dxfId="12" priority="13" stopIfTrue="1">
      <formula>NOT(ISERROR(T1))</formula>
    </cfRule>
  </conditionalFormatting>
  <conditionalFormatting sqref="U1">
    <cfRule type="notContainsErrors" dxfId="11" priority="12" stopIfTrue="1">
      <formula>NOT(ISERROR(U1))</formula>
    </cfRule>
  </conditionalFormatting>
  <conditionalFormatting sqref="V1">
    <cfRule type="notContainsErrors" dxfId="10" priority="11" stopIfTrue="1">
      <formula>NOT(ISERROR(V1))</formula>
    </cfRule>
  </conditionalFormatting>
  <conditionalFormatting sqref="Z1">
    <cfRule type="notContainsErrors" dxfId="9" priority="10" stopIfTrue="1">
      <formula>NOT(ISERROR(Z1))</formula>
    </cfRule>
  </conditionalFormatting>
  <conditionalFormatting sqref="AB1">
    <cfRule type="notContainsErrors" dxfId="8" priority="9" stopIfTrue="1">
      <formula>NOT(ISERROR(AB1))</formula>
    </cfRule>
  </conditionalFormatting>
  <conditionalFormatting sqref="A2">
    <cfRule type="expression" dxfId="7" priority="8">
      <formula>IF(VALUE(MID(A2, 53, 1))&lt;&gt; 0, TRUE, FALSE)</formula>
    </cfRule>
  </conditionalFormatting>
  <conditionalFormatting sqref="B2">
    <cfRule type="expression" dxfId="6" priority="7">
      <formula>IF(VALUE(MID(B2, 56, 1))&lt;&gt; 0, TRUE, FALSE)</formula>
    </cfRule>
  </conditionalFormatting>
  <conditionalFormatting sqref="C2">
    <cfRule type="expression" dxfId="5" priority="6">
      <formula>IF(VALUE(MID(C2, 40, 1))&lt;&gt; 0, TRUE, FALSE)</formula>
    </cfRule>
  </conditionalFormatting>
  <conditionalFormatting sqref="D2">
    <cfRule type="expression" dxfId="4" priority="5">
      <formula>IF(VALUE(MID(D2, 61, 1))&lt;&gt; 0, TRUE, FALSE)</formula>
    </cfRule>
  </conditionalFormatting>
  <conditionalFormatting sqref="E2">
    <cfRule type="expression" dxfId="3" priority="4">
      <formula>IF(VALUE(MID(E2, 44, 1))&lt;&gt; 0, TRUE, FALSE)</formula>
    </cfRule>
  </conditionalFormatting>
  <conditionalFormatting sqref="G2">
    <cfRule type="expression" dxfId="2" priority="3">
      <formula>IF(VALUE(MID(G2, 60, 1))&lt;&gt; 0, TRUE, FALSE)</formula>
    </cfRule>
  </conditionalFormatting>
  <conditionalFormatting sqref="H2">
    <cfRule type="expression" dxfId="1" priority="2">
      <formula>IF(VALUE(MID(H2, 56, 1))&lt;&gt; 0, TRUE, FALSE)</formula>
    </cfRule>
  </conditionalFormatting>
  <conditionalFormatting sqref="K2">
    <cfRule type="expression" dxfId="0" priority="1">
      <formula>IF(VALUE(MID(K2, 63, 1))&lt;&gt; 0, TRUE, FALSE)</formula>
    </cfRule>
  </conditionalFormatting>
  <pageMargins left="0.75" right="0.75" top="1" bottom="1" header="0.5" footer="0.5"/>
  <pageSetup paperSize="9" orientation="portrait" r:id="rId1"/>
  <headerFooter alignWithMargins="0">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94"/>
  <sheetViews>
    <sheetView showGridLines="0" workbookViewId="0"/>
  </sheetViews>
  <sheetFormatPr defaultColWidth="9.140625" defaultRowHeight="12.75" x14ac:dyDescent="0.2"/>
  <cols>
    <col min="1" max="1" width="9.140625" style="1"/>
    <col min="2" max="14" width="19.7109375" style="2" customWidth="1"/>
    <col min="15" max="16384" width="9.140625" style="2"/>
  </cols>
  <sheetData>
    <row r="1" spans="1:28" ht="36" x14ac:dyDescent="0.2">
      <c r="D1" s="5" t="s">
        <v>168</v>
      </c>
    </row>
    <row r="2" spans="1:28" ht="12" customHeight="1" x14ac:dyDescent="0.2">
      <c r="A2" s="3"/>
    </row>
    <row r="3" spans="1:28" ht="12" customHeight="1" x14ac:dyDescent="0.2">
      <c r="A3" s="3"/>
    </row>
    <row r="4" spans="1:28" ht="12" customHeight="1" x14ac:dyDescent="0.2">
      <c r="A4" s="3"/>
    </row>
    <row r="5" spans="1:28" ht="12" customHeight="1" x14ac:dyDescent="0.2">
      <c r="A5" s="3"/>
    </row>
    <row r="6" spans="1:28" s="28" customFormat="1" ht="12" customHeight="1" x14ac:dyDescent="0.25">
      <c r="A6" s="28">
        <f t="array" ref="A6">LOOKUP(2,1/(NOT(ISBLANK(ISA!$A:$A))), ROW(ISA!$A:$A)) - 2</f>
        <v>0</v>
      </c>
      <c r="B6" s="29">
        <f t="array" ref="B6">LOOKUP(2,1/(NOT(ISBLANK(ISA!$B:$B))), ROW(ISA!$B:$B)) - 2</f>
        <v>0</v>
      </c>
      <c r="C6" s="28">
        <f t="array" ref="C6">LOOKUP(2,1/(NOT(ISBLANK(ISA!$C:$C))), ROW(ISA!$C:$C)) - 2</f>
        <v>0</v>
      </c>
      <c r="D6" s="28">
        <f t="array" ref="D6">LOOKUP(2,1/(NOT(ISBLANK(ISA!$D:$D))), ROW(ISA!$D:$D)) - 2</f>
        <v>0</v>
      </c>
      <c r="E6" s="28">
        <f t="array" ref="E6">LOOKUP(2,1/(NOT(ISBLANK(ISA!$E:$E))), ROW(ISA!$E:$E)) - 2</f>
        <v>0</v>
      </c>
      <c r="F6" s="28">
        <f t="array" ref="F6">LOOKUP(2,1/(NOT(ISBLANK(ISA!$F:$F))), ROW(ISA!$F:$F)) - 2</f>
        <v>0</v>
      </c>
      <c r="G6" s="28">
        <f t="array" ref="G6">LOOKUP(2,1/(NOT(ISBLANK(ISA!$G:$G))), ROW(ISA!$G:$G)) - 2</f>
        <v>0</v>
      </c>
      <c r="H6" s="28">
        <f t="array" ref="H6">LOOKUP(2,1/(NOT(ISBLANK(ISA!$H:$H))), ROW(ISA!$H:$H)) - 2</f>
        <v>0</v>
      </c>
      <c r="I6" s="28">
        <f t="array" ref="I6">LOOKUP(2,1/(NOT(ISBLANK(ISA!$I:$I))), ROW(ISA!$I:$I)) - 2</f>
        <v>0</v>
      </c>
      <c r="J6" s="28">
        <f t="array" ref="J6">LOOKUP(2,1/(NOT(ISBLANK(ISA!$J:$J))), ROW(ISA!$J:$J)) - 2</f>
        <v>0</v>
      </c>
      <c r="K6" s="28">
        <f t="array" ref="K6">LOOKUP(2,1/(NOT(ISBLANK(ISA!$K:$K))), ROW(ISA!$K:$K)) - 2</f>
        <v>0</v>
      </c>
      <c r="L6" s="28">
        <f t="array" ref="L6">LOOKUP(2,1/(NOT(ISBLANK(ISA!$L:$L))), ROW(ISA!$L:$L)) - 2</f>
        <v>0</v>
      </c>
      <c r="M6" s="28">
        <f t="array" ref="M6">LOOKUP(2,1/(NOT(ISBLANK(ISA!$M:$M))), ROW(ISA!$M:$M)) - 2</f>
        <v>0</v>
      </c>
      <c r="N6" s="28">
        <f t="array" ref="N6">LOOKUP(2,1/(NOT(ISBLANK(ISA!$N:$N))), ROW(ISA!$N:$N)) - 2</f>
        <v>0</v>
      </c>
      <c r="O6" s="28">
        <f t="array" ref="O6">LOOKUP(2,1/(NOT(ISBLANK(ISA!$O:$O))), ROW(ISA!$O:$O)) - 2</f>
        <v>0</v>
      </c>
      <c r="P6" s="28">
        <f t="array" ref="P6">LOOKUP(2,1/(NOT(ISBLANK(ISA!$P:$P))), ROW(ISA!$P:$P)) - 2</f>
        <v>0</v>
      </c>
      <c r="Q6" s="28">
        <f t="array" ref="Q6">LOOKUP(2,1/(NOT(ISBLANK(ISA!$Q:$Q))), ROW(ISA!$Q:$Q)) - 2</f>
        <v>0</v>
      </c>
      <c r="R6" s="28">
        <f t="array" ref="R6">LOOKUP(2,1/(NOT(ISBLANK(ISA!$R:$R))), ROW(ISA!$R:$R)) - 2</f>
        <v>0</v>
      </c>
      <c r="S6" s="28">
        <f t="array" ref="S6">LOOKUP(2,1/(NOT(ISBLANK(ISA!$S:$S))), ROW(ISA!$S:$S)) - 2</f>
        <v>0</v>
      </c>
      <c r="T6" s="28">
        <f t="array" ref="T6">LOOKUP(2,1/(NOT(ISBLANK(ISA!$T:$T))), ROW(ISA!$T:$T)) - 2</f>
        <v>0</v>
      </c>
      <c r="U6" s="28">
        <f t="array" ref="U6">LOOKUP(2,1/(NOT(ISBLANK(ISA!$U:$U))), ROW(ISA!$U:$U)) - 2</f>
        <v>0</v>
      </c>
      <c r="V6" s="28">
        <f t="array" ref="V6">LOOKUP(2,1/(NOT(ISBLANK(ISA!$V:$V))), ROW(ISA!$V:$V)) - 2</f>
        <v>0</v>
      </c>
      <c r="W6" s="28">
        <f t="array" ref="W6">LOOKUP(2,1/(NOT(ISBLANK(ISA!$W:$W))), ROW(ISA!$W:$W)) - 2</f>
        <v>0</v>
      </c>
      <c r="X6" s="28">
        <f t="array" ref="X6">LOOKUP(2,1/(NOT(ISBLANK(ISA!$X:$X))), ROW(ISA!$X:$X)) - 2</f>
        <v>0</v>
      </c>
      <c r="Y6" s="28">
        <f t="array" ref="Y6">LOOKUP(2,1/(NOT(ISBLANK(ISA!$Y:$Y))), ROW(ISA!$Y:$Y)) - 2</f>
        <v>0</v>
      </c>
      <c r="Z6" s="28">
        <f t="array" ref="Z6">LOOKUP(2,1/(NOT(ISBLANK(ISA!$Z:$Z))), ROW(ISA!$Z:$Z)) - 2</f>
        <v>0</v>
      </c>
      <c r="AA6" s="28">
        <f t="array" ref="AA6">LOOKUP(2,1/(NOT(ISBLANK(ISA!$AA:$AA))), ROW(ISA!$AA:$AA)) - 2</f>
        <v>0</v>
      </c>
      <c r="AB6" s="28">
        <f t="array" ref="AB6">LOOKUP(2,1/(NOT(ISBLANK(ISA!$AB:$AB))), ROW(ISA!$AB:$AB)) - 2</f>
        <v>0</v>
      </c>
    </row>
    <row r="7" spans="1:28" ht="23.25" x14ac:dyDescent="0.2">
      <c r="A7" s="33" t="s">
        <v>173</v>
      </c>
    </row>
    <row r="8" spans="1:28" ht="9" customHeight="1" x14ac:dyDescent="0.2">
      <c r="A8" s="33"/>
    </row>
    <row r="9" spans="1:28" ht="23.25" customHeight="1" x14ac:dyDescent="0.2">
      <c r="A9" s="33" t="s">
        <v>174</v>
      </c>
    </row>
    <row r="10" spans="1:28" ht="9" customHeight="1" x14ac:dyDescent="0.2">
      <c r="A10" s="34"/>
    </row>
    <row r="11" spans="1:28" ht="18.75" x14ac:dyDescent="0.2">
      <c r="A11" s="35" t="s">
        <v>70</v>
      </c>
    </row>
    <row r="12" spans="1:28" ht="9" customHeight="1" x14ac:dyDescent="0.2">
      <c r="A12" s="36"/>
    </row>
    <row r="13" spans="1:28" ht="18.75" x14ac:dyDescent="0.2">
      <c r="A13" s="13" t="s">
        <v>71</v>
      </c>
    </row>
    <row r="14" spans="1:28" ht="9" customHeight="1" x14ac:dyDescent="0.2">
      <c r="A14" s="37"/>
    </row>
    <row r="15" spans="1:28" ht="21" x14ac:dyDescent="0.2">
      <c r="A15" s="35" t="s">
        <v>72</v>
      </c>
    </row>
    <row r="16" spans="1:28" ht="9" customHeight="1" x14ac:dyDescent="0.2">
      <c r="A16" s="37"/>
    </row>
    <row r="17" spans="1:1" ht="21" x14ac:dyDescent="0.2">
      <c r="A17" s="35" t="s">
        <v>73</v>
      </c>
    </row>
    <row r="18" spans="1:1" ht="9" customHeight="1" x14ac:dyDescent="0.2">
      <c r="A18" s="37"/>
    </row>
    <row r="19" spans="1:1" ht="18.75" x14ac:dyDescent="0.2">
      <c r="A19" s="35" t="s">
        <v>122</v>
      </c>
    </row>
    <row r="20" spans="1:1" ht="9" customHeight="1" x14ac:dyDescent="0.2">
      <c r="A20" s="37"/>
    </row>
    <row r="21" spans="1:1" ht="18.75" x14ac:dyDescent="0.2">
      <c r="A21" s="13" t="s">
        <v>74</v>
      </c>
    </row>
    <row r="22" spans="1:1" ht="9" customHeight="1" x14ac:dyDescent="0.2">
      <c r="A22" s="37"/>
    </row>
    <row r="23" spans="1:1" ht="18.75" x14ac:dyDescent="0.2">
      <c r="A23" s="13" t="s">
        <v>75</v>
      </c>
    </row>
    <row r="24" spans="1:1" ht="9" customHeight="1" x14ac:dyDescent="0.2">
      <c r="A24" s="37"/>
    </row>
    <row r="25" spans="1:1" ht="18.75" x14ac:dyDescent="0.2">
      <c r="A25" s="35" t="s">
        <v>76</v>
      </c>
    </row>
    <row r="26" spans="1:1" ht="9" customHeight="1" x14ac:dyDescent="0.2">
      <c r="A26" s="35"/>
    </row>
    <row r="27" spans="1:1" ht="18.75" x14ac:dyDescent="0.2">
      <c r="A27" s="35" t="s">
        <v>125</v>
      </c>
    </row>
    <row r="28" spans="1:1" ht="9" customHeight="1" x14ac:dyDescent="0.2">
      <c r="A28" s="35"/>
    </row>
    <row r="29" spans="1:1" ht="18.75" x14ac:dyDescent="0.2">
      <c r="A29" s="35" t="s">
        <v>77</v>
      </c>
    </row>
    <row r="30" spans="1:1" ht="9" customHeight="1" x14ac:dyDescent="0.2">
      <c r="A30" s="35"/>
    </row>
    <row r="31" spans="1:1" ht="18.75" x14ac:dyDescent="0.2">
      <c r="A31" s="35" t="s">
        <v>123</v>
      </c>
    </row>
    <row r="32" spans="1:1" ht="9" customHeight="1" x14ac:dyDescent="0.2">
      <c r="A32" s="35"/>
    </row>
    <row r="33" spans="1:14" ht="18.75" x14ac:dyDescent="0.2">
      <c r="A33" s="35" t="s">
        <v>124</v>
      </c>
    </row>
    <row r="34" spans="1:14" ht="9" customHeight="1" x14ac:dyDescent="0.2">
      <c r="A34" s="35"/>
    </row>
    <row r="35" spans="1:14" ht="18.75" x14ac:dyDescent="0.2">
      <c r="A35" s="13" t="s">
        <v>78</v>
      </c>
    </row>
    <row r="36" spans="1:14" ht="9" customHeight="1" x14ac:dyDescent="0.2">
      <c r="A36" s="13"/>
    </row>
    <row r="37" spans="1:14" ht="18.75" x14ac:dyDescent="0.2">
      <c r="A37" s="35" t="s">
        <v>79</v>
      </c>
    </row>
    <row r="38" spans="1:14" ht="9" customHeight="1" x14ac:dyDescent="0.2">
      <c r="A38" s="38"/>
    </row>
    <row r="39" spans="1:14" ht="28.5" x14ac:dyDescent="0.2">
      <c r="B39" s="14" t="s">
        <v>58</v>
      </c>
    </row>
    <row r="40" spans="1:14" ht="18.75" x14ac:dyDescent="0.2">
      <c r="B40" s="4"/>
    </row>
    <row r="41" spans="1:14" ht="21" x14ac:dyDescent="0.3">
      <c r="B41" s="15" t="s">
        <v>0</v>
      </c>
      <c r="C41" s="16"/>
      <c r="D41" s="16"/>
      <c r="E41" s="16"/>
      <c r="F41" s="16"/>
      <c r="G41" s="16"/>
      <c r="H41" s="16"/>
      <c r="I41" s="16"/>
      <c r="J41" s="16"/>
      <c r="K41" s="16"/>
      <c r="L41" s="16"/>
      <c r="M41" s="16"/>
      <c r="N41" s="16"/>
    </row>
    <row r="42" spans="1:14" ht="21" x14ac:dyDescent="0.3">
      <c r="B42" s="17" t="s">
        <v>162</v>
      </c>
      <c r="C42" s="16"/>
      <c r="D42" s="16"/>
      <c r="E42" s="16"/>
      <c r="F42" s="16"/>
      <c r="G42" s="16"/>
      <c r="H42" s="16"/>
      <c r="I42" s="16"/>
      <c r="J42" s="16"/>
      <c r="K42" s="16"/>
      <c r="L42" s="16"/>
      <c r="M42" s="16"/>
      <c r="N42" s="16"/>
    </row>
    <row r="43" spans="1:14" ht="21" x14ac:dyDescent="0.3">
      <c r="B43" s="17"/>
      <c r="C43" s="16"/>
      <c r="D43" s="16"/>
      <c r="E43" s="16"/>
      <c r="F43" s="16"/>
      <c r="G43" s="16"/>
      <c r="H43" s="16"/>
      <c r="I43" s="16"/>
      <c r="J43" s="16"/>
      <c r="K43" s="16"/>
      <c r="L43" s="16"/>
      <c r="M43" s="16"/>
      <c r="N43" s="16"/>
    </row>
    <row r="44" spans="1:14" ht="21" x14ac:dyDescent="0.3">
      <c r="B44" s="15" t="s">
        <v>1</v>
      </c>
      <c r="C44" s="16"/>
      <c r="D44" s="16"/>
      <c r="E44" s="16"/>
      <c r="F44" s="16"/>
      <c r="G44" s="16"/>
      <c r="H44" s="16"/>
      <c r="I44" s="16"/>
      <c r="J44" s="16"/>
      <c r="K44" s="16"/>
      <c r="L44" s="16"/>
      <c r="M44" s="16"/>
      <c r="N44" s="16"/>
    </row>
    <row r="45" spans="1:14" ht="21.75" x14ac:dyDescent="0.3">
      <c r="B45" s="18" t="s">
        <v>91</v>
      </c>
      <c r="H45" s="16"/>
      <c r="I45" s="16"/>
      <c r="J45" s="16"/>
      <c r="K45" s="16"/>
      <c r="L45" s="16"/>
      <c r="M45" s="16"/>
      <c r="N45" s="16"/>
    </row>
    <row r="46" spans="1:14" ht="21.75" x14ac:dyDescent="0.3">
      <c r="B46" s="18" t="s">
        <v>130</v>
      </c>
      <c r="H46" s="16"/>
      <c r="I46" s="16"/>
      <c r="J46" s="16"/>
      <c r="K46" s="16"/>
      <c r="L46" s="16"/>
      <c r="M46" s="16"/>
      <c r="N46" s="16"/>
    </row>
    <row r="47" spans="1:14" ht="21.75" x14ac:dyDescent="0.3">
      <c r="B47" s="18" t="s">
        <v>128</v>
      </c>
      <c r="H47" s="16"/>
      <c r="I47" s="16"/>
      <c r="J47" s="16"/>
      <c r="K47" s="16"/>
      <c r="L47" s="16"/>
      <c r="M47" s="16"/>
      <c r="N47" s="16"/>
    </row>
    <row r="48" spans="1:14" ht="21.75" x14ac:dyDescent="0.3">
      <c r="B48" s="18" t="s">
        <v>85</v>
      </c>
      <c r="H48" s="16"/>
      <c r="I48" s="16"/>
      <c r="J48" s="16"/>
      <c r="K48" s="16"/>
      <c r="L48" s="16"/>
      <c r="M48" s="16"/>
      <c r="N48" s="16"/>
    </row>
    <row r="49" spans="2:14" ht="21.75" x14ac:dyDescent="0.3">
      <c r="B49" s="18" t="s">
        <v>126</v>
      </c>
      <c r="H49" s="16"/>
      <c r="I49" s="16"/>
      <c r="J49" s="16"/>
      <c r="K49" s="16"/>
      <c r="L49" s="16"/>
      <c r="M49" s="16"/>
      <c r="N49" s="16"/>
    </row>
    <row r="50" spans="2:14" ht="21.75" x14ac:dyDescent="0.3">
      <c r="B50" s="18"/>
      <c r="C50" s="16"/>
      <c r="D50" s="16"/>
      <c r="E50" s="16"/>
      <c r="F50" s="16"/>
      <c r="G50" s="16"/>
      <c r="H50" s="16"/>
      <c r="I50" s="16"/>
      <c r="J50" s="16"/>
      <c r="K50" s="16"/>
      <c r="L50" s="16"/>
      <c r="M50" s="16"/>
      <c r="N50" s="16"/>
    </row>
    <row r="51" spans="2:14" ht="21" x14ac:dyDescent="0.3">
      <c r="B51" s="20"/>
      <c r="C51" s="16"/>
      <c r="D51" s="16"/>
      <c r="E51" s="16"/>
      <c r="F51" s="16"/>
      <c r="G51" s="16"/>
      <c r="H51" s="16"/>
      <c r="I51" s="16"/>
      <c r="J51" s="16"/>
      <c r="K51" s="16"/>
      <c r="L51" s="16"/>
      <c r="M51" s="16"/>
      <c r="N51" s="16"/>
    </row>
    <row r="52" spans="2:14" ht="21" x14ac:dyDescent="0.3">
      <c r="B52" s="15" t="s">
        <v>9</v>
      </c>
      <c r="C52" s="16"/>
      <c r="D52" s="16"/>
      <c r="E52" s="16"/>
      <c r="F52" s="16"/>
      <c r="G52" s="16"/>
      <c r="H52" s="16"/>
      <c r="I52" s="16"/>
      <c r="J52" s="16"/>
      <c r="K52" s="16"/>
      <c r="L52" s="16"/>
      <c r="M52" s="16"/>
      <c r="N52" s="16"/>
    </row>
    <row r="53" spans="2:14" ht="21" x14ac:dyDescent="0.3">
      <c r="B53" s="17" t="s">
        <v>156</v>
      </c>
      <c r="C53" s="16"/>
      <c r="D53" s="16"/>
      <c r="E53" s="16"/>
      <c r="F53" s="16"/>
      <c r="G53" s="16"/>
      <c r="H53" s="16"/>
      <c r="I53" s="16"/>
      <c r="J53" s="16"/>
      <c r="K53" s="16"/>
      <c r="L53" s="16"/>
      <c r="M53" s="16"/>
      <c r="N53" s="16"/>
    </row>
    <row r="54" spans="2:14" ht="21" x14ac:dyDescent="0.3">
      <c r="B54" s="17"/>
      <c r="C54" s="16"/>
      <c r="D54" s="16"/>
      <c r="E54" s="16"/>
      <c r="F54" s="16"/>
      <c r="G54" s="16"/>
      <c r="H54" s="16"/>
      <c r="I54" s="16"/>
      <c r="J54" s="16"/>
      <c r="K54" s="16"/>
      <c r="L54" s="16"/>
      <c r="M54" s="16"/>
      <c r="N54" s="16"/>
    </row>
    <row r="55" spans="2:14" ht="21" x14ac:dyDescent="0.3">
      <c r="B55" s="15" t="s">
        <v>1</v>
      </c>
      <c r="C55" s="16"/>
      <c r="D55" s="16"/>
      <c r="E55" s="16"/>
      <c r="F55" s="16"/>
      <c r="G55" s="16"/>
      <c r="H55" s="16"/>
      <c r="I55" s="16"/>
      <c r="J55" s="16"/>
      <c r="K55" s="16"/>
      <c r="L55" s="16"/>
      <c r="M55" s="16"/>
      <c r="N55" s="16"/>
    </row>
    <row r="56" spans="2:14" ht="21.75" x14ac:dyDescent="0.3">
      <c r="B56" s="18" t="s">
        <v>80</v>
      </c>
      <c r="I56" s="16"/>
      <c r="J56" s="16"/>
      <c r="K56" s="16"/>
      <c r="L56" s="16"/>
      <c r="M56" s="16"/>
      <c r="N56" s="16"/>
    </row>
    <row r="57" spans="2:14" ht="21.75" x14ac:dyDescent="0.3">
      <c r="B57" s="18" t="s">
        <v>82</v>
      </c>
      <c r="I57" s="16"/>
      <c r="J57" s="16"/>
      <c r="K57" s="16"/>
      <c r="L57" s="16"/>
      <c r="M57" s="16"/>
      <c r="N57" s="16"/>
    </row>
    <row r="58" spans="2:14" ht="21" thickBot="1" x14ac:dyDescent="0.35">
      <c r="B58" s="22"/>
      <c r="I58" s="16"/>
      <c r="J58" s="16"/>
      <c r="K58" s="16"/>
      <c r="L58" s="16"/>
      <c r="M58" s="16"/>
      <c r="N58" s="16"/>
    </row>
    <row r="59" spans="2:14" ht="27" customHeight="1" thickBot="1" x14ac:dyDescent="0.35">
      <c r="B59" s="23" t="s">
        <v>2</v>
      </c>
      <c r="C59" s="24" t="s">
        <v>3</v>
      </c>
      <c r="D59" s="24" t="s">
        <v>4</v>
      </c>
      <c r="E59" s="24" t="s">
        <v>101</v>
      </c>
      <c r="F59" s="24" t="s">
        <v>5</v>
      </c>
      <c r="I59" s="16"/>
      <c r="J59" s="16"/>
      <c r="K59" s="16"/>
      <c r="L59" s="16"/>
      <c r="M59" s="16"/>
      <c r="N59" s="16"/>
    </row>
    <row r="60" spans="2:14" ht="27" customHeight="1" thickBot="1" x14ac:dyDescent="0.35">
      <c r="B60" s="23" t="s">
        <v>6</v>
      </c>
      <c r="C60" s="24" t="s">
        <v>7</v>
      </c>
      <c r="D60" s="24" t="s">
        <v>8</v>
      </c>
      <c r="E60" s="24" t="s">
        <v>100</v>
      </c>
      <c r="I60" s="16"/>
      <c r="J60" s="16"/>
      <c r="K60" s="16"/>
      <c r="L60" s="16"/>
      <c r="M60" s="16"/>
      <c r="N60" s="16"/>
    </row>
    <row r="61" spans="2:14" ht="21.75" x14ac:dyDescent="0.3">
      <c r="B61" s="18"/>
      <c r="C61" s="16"/>
      <c r="D61" s="16"/>
      <c r="E61" s="16"/>
      <c r="F61" s="16"/>
      <c r="G61" s="16"/>
      <c r="H61" s="16"/>
      <c r="I61" s="16"/>
      <c r="J61" s="16"/>
      <c r="K61" s="16"/>
      <c r="L61" s="16"/>
      <c r="M61" s="16"/>
      <c r="N61" s="16"/>
    </row>
    <row r="62" spans="2:14" ht="21" x14ac:dyDescent="0.3">
      <c r="B62" s="20"/>
      <c r="C62" s="16"/>
      <c r="D62" s="16"/>
      <c r="E62" s="16"/>
      <c r="F62" s="16"/>
      <c r="G62" s="16"/>
      <c r="H62" s="16"/>
      <c r="I62" s="16"/>
      <c r="J62" s="16"/>
      <c r="K62" s="16"/>
      <c r="L62" s="16"/>
      <c r="M62" s="16"/>
      <c r="N62" s="16"/>
    </row>
    <row r="63" spans="2:14" ht="21" x14ac:dyDescent="0.3">
      <c r="B63" s="15" t="s">
        <v>10</v>
      </c>
      <c r="C63" s="16"/>
      <c r="D63" s="16"/>
      <c r="E63" s="16"/>
      <c r="F63" s="16"/>
      <c r="G63" s="16"/>
      <c r="H63" s="16"/>
      <c r="I63" s="16"/>
      <c r="J63" s="16"/>
      <c r="K63" s="16"/>
      <c r="L63" s="16"/>
      <c r="M63" s="16"/>
      <c r="N63" s="16"/>
    </row>
    <row r="64" spans="2:14" ht="21" x14ac:dyDescent="0.3">
      <c r="B64" s="17" t="s">
        <v>27</v>
      </c>
      <c r="C64" s="16"/>
      <c r="D64" s="16"/>
      <c r="E64" s="16"/>
      <c r="F64" s="16"/>
      <c r="G64" s="16"/>
      <c r="H64" s="16"/>
      <c r="I64" s="16"/>
      <c r="J64" s="16"/>
      <c r="K64" s="16"/>
      <c r="L64" s="16"/>
      <c r="M64" s="16"/>
      <c r="N64" s="16"/>
    </row>
    <row r="65" spans="2:14" ht="21" x14ac:dyDescent="0.3">
      <c r="B65" s="17"/>
      <c r="C65" s="16"/>
      <c r="D65" s="16"/>
      <c r="E65" s="16"/>
      <c r="F65" s="16"/>
      <c r="G65" s="16"/>
      <c r="H65" s="16"/>
      <c r="I65" s="16"/>
      <c r="J65" s="16"/>
      <c r="K65" s="16"/>
      <c r="L65" s="16"/>
      <c r="M65" s="16"/>
      <c r="N65" s="16"/>
    </row>
    <row r="66" spans="2:14" ht="21" x14ac:dyDescent="0.3">
      <c r="B66" s="15" t="s">
        <v>1</v>
      </c>
      <c r="C66" s="16"/>
      <c r="D66" s="16"/>
      <c r="E66" s="16"/>
      <c r="F66" s="16"/>
      <c r="G66" s="16"/>
      <c r="H66" s="16"/>
      <c r="I66" s="16"/>
      <c r="J66" s="16"/>
      <c r="K66" s="16"/>
      <c r="L66" s="16"/>
      <c r="M66" s="16"/>
      <c r="N66" s="16"/>
    </row>
    <row r="67" spans="2:14" ht="21.75" x14ac:dyDescent="0.3">
      <c r="B67" s="18" t="s">
        <v>94</v>
      </c>
      <c r="H67" s="16"/>
      <c r="I67" s="16"/>
      <c r="J67" s="16"/>
      <c r="K67" s="16"/>
      <c r="L67" s="16"/>
      <c r="M67" s="16"/>
      <c r="N67" s="16"/>
    </row>
    <row r="68" spans="2:14" ht="21.75" x14ac:dyDescent="0.3">
      <c r="B68" s="18" t="s">
        <v>129</v>
      </c>
      <c r="H68" s="16"/>
      <c r="I68" s="16"/>
      <c r="J68" s="16"/>
      <c r="K68" s="16"/>
      <c r="L68" s="16"/>
      <c r="M68" s="16"/>
      <c r="N68" s="16"/>
    </row>
    <row r="69" spans="2:14" ht="21.75" x14ac:dyDescent="0.3">
      <c r="B69" s="18" t="s">
        <v>95</v>
      </c>
      <c r="H69" s="16"/>
      <c r="I69" s="16"/>
      <c r="J69" s="16"/>
      <c r="K69" s="16"/>
      <c r="L69" s="16"/>
      <c r="M69" s="16"/>
      <c r="N69" s="16"/>
    </row>
    <row r="70" spans="2:14" ht="21.75" x14ac:dyDescent="0.3">
      <c r="B70" s="18" t="s">
        <v>85</v>
      </c>
      <c r="H70" s="16"/>
      <c r="I70" s="16"/>
      <c r="J70" s="16"/>
      <c r="K70" s="16"/>
      <c r="L70" s="16"/>
      <c r="M70" s="16"/>
      <c r="N70" s="16"/>
    </row>
    <row r="71" spans="2:14" ht="21.75" x14ac:dyDescent="0.3">
      <c r="B71" s="18" t="s">
        <v>126</v>
      </c>
      <c r="H71" s="16"/>
      <c r="I71" s="16"/>
      <c r="J71" s="16"/>
      <c r="K71" s="16"/>
      <c r="L71" s="16"/>
      <c r="M71" s="16"/>
      <c r="N71" s="16"/>
    </row>
    <row r="72" spans="2:14" ht="21" x14ac:dyDescent="0.3">
      <c r="B72" s="17"/>
      <c r="C72" s="16"/>
      <c r="D72" s="16"/>
      <c r="E72" s="16"/>
      <c r="F72" s="16"/>
      <c r="G72" s="16"/>
      <c r="H72" s="16"/>
      <c r="I72" s="16"/>
      <c r="J72" s="16"/>
      <c r="K72" s="16"/>
      <c r="L72" s="16"/>
      <c r="M72" s="16"/>
      <c r="N72" s="16"/>
    </row>
    <row r="73" spans="2:14" ht="21" x14ac:dyDescent="0.3">
      <c r="B73" s="20"/>
      <c r="C73" s="16"/>
      <c r="D73" s="16"/>
      <c r="E73" s="16"/>
      <c r="F73" s="16"/>
      <c r="G73" s="16"/>
      <c r="H73" s="16"/>
      <c r="I73" s="16"/>
      <c r="J73" s="16"/>
      <c r="K73" s="16"/>
      <c r="L73" s="16"/>
      <c r="M73" s="16"/>
      <c r="N73" s="16"/>
    </row>
    <row r="74" spans="2:14" ht="21" x14ac:dyDescent="0.3">
      <c r="B74" s="15" t="s">
        <v>11</v>
      </c>
      <c r="C74" s="16"/>
      <c r="D74" s="16"/>
      <c r="E74" s="16"/>
      <c r="F74" s="16"/>
      <c r="G74" s="16"/>
      <c r="H74" s="16"/>
      <c r="I74" s="16"/>
      <c r="J74" s="16"/>
      <c r="K74" s="16"/>
      <c r="L74" s="16"/>
      <c r="M74" s="16"/>
      <c r="N74" s="16"/>
    </row>
    <row r="75" spans="2:14" ht="21" x14ac:dyDescent="0.3">
      <c r="B75" s="17" t="s">
        <v>35</v>
      </c>
      <c r="C75" s="16"/>
      <c r="D75" s="16"/>
      <c r="E75" s="16"/>
      <c r="F75" s="16"/>
      <c r="G75" s="16"/>
      <c r="H75" s="16"/>
      <c r="I75" s="16"/>
      <c r="J75" s="16"/>
      <c r="K75" s="16"/>
      <c r="L75" s="16"/>
      <c r="M75" s="16"/>
      <c r="N75" s="16"/>
    </row>
    <row r="76" spans="2:14" ht="21" x14ac:dyDescent="0.3">
      <c r="B76" s="17"/>
      <c r="C76" s="16"/>
      <c r="D76" s="16"/>
      <c r="E76" s="16"/>
      <c r="F76" s="16"/>
      <c r="G76" s="16"/>
      <c r="H76" s="16"/>
      <c r="I76" s="16"/>
      <c r="J76" s="16"/>
      <c r="K76" s="16"/>
      <c r="L76" s="16"/>
      <c r="M76" s="16"/>
      <c r="N76" s="16"/>
    </row>
    <row r="77" spans="2:14" ht="21" x14ac:dyDescent="0.3">
      <c r="B77" s="15" t="s">
        <v>1</v>
      </c>
      <c r="C77" s="16"/>
      <c r="D77" s="16"/>
      <c r="E77" s="16"/>
      <c r="F77" s="16"/>
      <c r="G77" s="16"/>
      <c r="H77" s="16"/>
      <c r="I77" s="16"/>
      <c r="J77" s="16"/>
      <c r="K77" s="16"/>
      <c r="L77" s="16"/>
      <c r="M77" s="16"/>
      <c r="N77" s="16"/>
    </row>
    <row r="78" spans="2:14" ht="21.75" x14ac:dyDescent="0.3">
      <c r="B78" s="18" t="s">
        <v>81</v>
      </c>
      <c r="I78" s="16"/>
      <c r="J78" s="16"/>
      <c r="K78" s="16"/>
      <c r="L78" s="16"/>
      <c r="M78" s="16"/>
      <c r="N78" s="16"/>
    </row>
    <row r="79" spans="2:14" ht="21.75" x14ac:dyDescent="0.3">
      <c r="B79" s="18" t="s">
        <v>82</v>
      </c>
      <c r="J79" s="16"/>
      <c r="K79" s="16"/>
      <c r="L79" s="16"/>
      <c r="M79" s="16"/>
      <c r="N79" s="16"/>
    </row>
    <row r="80" spans="2:14" ht="21" thickBot="1" x14ac:dyDescent="0.35">
      <c r="B80" s="22"/>
      <c r="J80" s="16"/>
      <c r="K80" s="16"/>
      <c r="L80" s="16"/>
      <c r="M80" s="16"/>
      <c r="N80" s="16"/>
    </row>
    <row r="81" spans="2:14" ht="27" customHeight="1" thickBot="1" x14ac:dyDescent="0.35">
      <c r="B81" s="23" t="s">
        <v>2</v>
      </c>
      <c r="C81" s="24" t="s">
        <v>3</v>
      </c>
      <c r="D81" s="24" t="s">
        <v>4</v>
      </c>
      <c r="E81" s="24" t="s">
        <v>101</v>
      </c>
      <c r="F81" s="24" t="s">
        <v>5</v>
      </c>
      <c r="J81" s="16"/>
      <c r="K81" s="16"/>
      <c r="L81" s="16"/>
      <c r="M81" s="16"/>
      <c r="N81" s="16"/>
    </row>
    <row r="82" spans="2:14" ht="27" customHeight="1" thickBot="1" x14ac:dyDescent="0.35">
      <c r="B82" s="23" t="s">
        <v>6</v>
      </c>
      <c r="C82" s="24" t="s">
        <v>7</v>
      </c>
      <c r="D82" s="24" t="s">
        <v>8</v>
      </c>
      <c r="E82" s="24" t="s">
        <v>100</v>
      </c>
      <c r="J82" s="16"/>
      <c r="K82" s="16"/>
      <c r="L82" s="16"/>
      <c r="M82" s="16"/>
      <c r="N82" s="16"/>
    </row>
    <row r="83" spans="2:14" ht="21" x14ac:dyDescent="0.3">
      <c r="B83" s="20"/>
      <c r="C83" s="16"/>
      <c r="D83" s="16"/>
      <c r="E83" s="16"/>
      <c r="F83" s="16"/>
      <c r="G83" s="16"/>
      <c r="H83" s="16"/>
      <c r="I83" s="16"/>
      <c r="J83" s="16"/>
      <c r="K83" s="16"/>
      <c r="L83" s="16"/>
      <c r="M83" s="16"/>
      <c r="N83" s="16"/>
    </row>
    <row r="84" spans="2:14" ht="21" x14ac:dyDescent="0.3">
      <c r="B84" s="20"/>
      <c r="C84" s="16"/>
      <c r="D84" s="16"/>
      <c r="E84" s="16"/>
      <c r="F84" s="16"/>
      <c r="G84" s="16"/>
      <c r="H84" s="16"/>
      <c r="I84" s="16"/>
      <c r="J84" s="16"/>
      <c r="K84" s="16"/>
      <c r="L84" s="16"/>
      <c r="M84" s="16"/>
      <c r="N84" s="16"/>
    </row>
    <row r="85" spans="2:14" ht="21" x14ac:dyDescent="0.3">
      <c r="B85" s="15" t="s">
        <v>12</v>
      </c>
      <c r="C85" s="16"/>
      <c r="D85" s="16"/>
      <c r="E85" s="16"/>
      <c r="F85" s="16"/>
      <c r="G85" s="16"/>
      <c r="H85" s="16"/>
      <c r="I85" s="16"/>
      <c r="J85" s="16"/>
      <c r="K85" s="16"/>
      <c r="L85" s="16"/>
      <c r="M85" s="16"/>
      <c r="N85" s="16"/>
    </row>
    <row r="86" spans="2:14" ht="21" x14ac:dyDescent="0.3">
      <c r="B86" s="17" t="s">
        <v>41</v>
      </c>
      <c r="C86" s="16"/>
      <c r="D86" s="16"/>
      <c r="E86" s="16"/>
      <c r="F86" s="16"/>
      <c r="G86" s="16"/>
      <c r="H86" s="16"/>
      <c r="I86" s="16"/>
      <c r="J86" s="16"/>
      <c r="K86" s="16"/>
      <c r="L86" s="16"/>
      <c r="M86" s="16"/>
      <c r="N86" s="16"/>
    </row>
    <row r="87" spans="2:14" ht="21" x14ac:dyDescent="0.3">
      <c r="B87" s="17"/>
      <c r="C87" s="16"/>
      <c r="D87" s="16"/>
      <c r="E87" s="16"/>
      <c r="F87" s="16"/>
      <c r="G87" s="16"/>
      <c r="H87" s="16"/>
      <c r="I87" s="16"/>
      <c r="J87" s="16"/>
      <c r="K87" s="16"/>
      <c r="L87" s="16"/>
      <c r="M87" s="16"/>
      <c r="N87" s="16"/>
    </row>
    <row r="88" spans="2:14" ht="21" x14ac:dyDescent="0.3">
      <c r="B88" s="15" t="s">
        <v>1</v>
      </c>
      <c r="C88" s="16"/>
      <c r="D88" s="16"/>
      <c r="E88" s="16"/>
      <c r="F88" s="16"/>
      <c r="G88" s="16"/>
      <c r="H88" s="16"/>
      <c r="I88" s="16"/>
      <c r="J88" s="16"/>
      <c r="K88" s="16"/>
      <c r="L88" s="16"/>
      <c r="M88" s="16"/>
      <c r="N88" s="16"/>
    </row>
    <row r="89" spans="2:14" ht="21.75" x14ac:dyDescent="0.3">
      <c r="B89" s="18" t="s">
        <v>83</v>
      </c>
      <c r="C89" s="16"/>
      <c r="D89" s="16"/>
      <c r="E89" s="16"/>
      <c r="F89" s="16"/>
      <c r="G89" s="16"/>
      <c r="H89" s="16"/>
      <c r="I89" s="16"/>
      <c r="J89" s="16"/>
      <c r="K89" s="16"/>
      <c r="L89" s="16"/>
      <c r="M89" s="16"/>
      <c r="N89" s="16"/>
    </row>
    <row r="90" spans="2:14" ht="21.75" x14ac:dyDescent="0.3">
      <c r="B90" s="18" t="s">
        <v>84</v>
      </c>
      <c r="C90" s="16"/>
      <c r="D90" s="16"/>
      <c r="E90" s="16"/>
      <c r="F90" s="16"/>
      <c r="G90" s="16"/>
      <c r="H90" s="16"/>
      <c r="I90" s="16"/>
      <c r="J90" s="16"/>
      <c r="K90" s="16"/>
      <c r="L90" s="16"/>
      <c r="M90" s="16"/>
      <c r="N90" s="16"/>
    </row>
    <row r="91" spans="2:14" ht="21.75" thickBot="1" x14ac:dyDescent="0.35">
      <c r="B91" s="19"/>
      <c r="C91" s="16"/>
      <c r="D91" s="16"/>
      <c r="E91" s="16"/>
      <c r="F91" s="16"/>
      <c r="G91" s="16"/>
      <c r="H91" s="16"/>
      <c r="I91" s="16"/>
      <c r="J91" s="16"/>
      <c r="K91" s="16"/>
      <c r="L91" s="16"/>
      <c r="M91" s="16"/>
      <c r="N91" s="16"/>
    </row>
    <row r="92" spans="2:14" ht="27" customHeight="1" thickBot="1" x14ac:dyDescent="0.35">
      <c r="B92" s="26" t="s">
        <v>28</v>
      </c>
      <c r="C92" s="48" t="s">
        <v>60</v>
      </c>
      <c r="D92" s="49"/>
      <c r="E92" s="49"/>
      <c r="F92" s="49"/>
      <c r="G92" s="50"/>
      <c r="H92" s="21"/>
      <c r="I92" s="21"/>
      <c r="J92" s="21"/>
      <c r="K92" s="21"/>
      <c r="L92" s="21"/>
      <c r="M92" s="16"/>
      <c r="N92" s="16"/>
    </row>
    <row r="93" spans="2:14" ht="27" customHeight="1" thickBot="1" x14ac:dyDescent="0.35">
      <c r="B93" s="26" t="s">
        <v>29</v>
      </c>
      <c r="C93" s="48" t="s">
        <v>61</v>
      </c>
      <c r="D93" s="49"/>
      <c r="E93" s="49"/>
      <c r="F93" s="49"/>
      <c r="G93" s="50"/>
      <c r="H93" s="21"/>
      <c r="I93" s="21"/>
      <c r="J93" s="21"/>
      <c r="K93" s="21"/>
      <c r="L93" s="21"/>
      <c r="M93" s="16"/>
      <c r="N93" s="16"/>
    </row>
    <row r="94" spans="2:14" ht="27" customHeight="1" thickBot="1" x14ac:dyDescent="0.35">
      <c r="B94" s="26" t="s">
        <v>30</v>
      </c>
      <c r="C94" s="48" t="s">
        <v>62</v>
      </c>
      <c r="D94" s="49"/>
      <c r="E94" s="49"/>
      <c r="F94" s="49"/>
      <c r="G94" s="50"/>
      <c r="H94" s="21"/>
      <c r="I94" s="21"/>
      <c r="J94" s="21"/>
      <c r="K94" s="21"/>
      <c r="L94" s="21"/>
      <c r="M94" s="16"/>
      <c r="N94" s="16"/>
    </row>
    <row r="95" spans="2:14" ht="27" customHeight="1" thickBot="1" x14ac:dyDescent="0.35">
      <c r="B95" s="26" t="s">
        <v>26</v>
      </c>
      <c r="C95" s="48" t="s">
        <v>63</v>
      </c>
      <c r="D95" s="49"/>
      <c r="E95" s="49"/>
      <c r="F95" s="49"/>
      <c r="G95" s="50"/>
      <c r="H95" s="21"/>
      <c r="I95" s="21"/>
      <c r="J95" s="21"/>
      <c r="K95" s="21"/>
      <c r="L95" s="21"/>
      <c r="M95" s="16"/>
      <c r="N95" s="16"/>
    </row>
    <row r="96" spans="2:14" ht="27" customHeight="1" thickBot="1" x14ac:dyDescent="0.35">
      <c r="B96" s="26" t="s">
        <v>36</v>
      </c>
      <c r="C96" s="48" t="s">
        <v>96</v>
      </c>
      <c r="D96" s="49"/>
      <c r="E96" s="49"/>
      <c r="F96" s="49"/>
      <c r="G96" s="50"/>
      <c r="H96" s="21"/>
      <c r="I96" s="21"/>
      <c r="J96" s="21"/>
      <c r="K96" s="21"/>
      <c r="L96" s="21"/>
      <c r="M96" s="16"/>
      <c r="N96" s="16"/>
    </row>
    <row r="97" spans="2:14" ht="27" customHeight="1" thickBot="1" x14ac:dyDescent="0.35">
      <c r="B97" s="26" t="s">
        <v>37</v>
      </c>
      <c r="C97" s="48" t="s">
        <v>64</v>
      </c>
      <c r="D97" s="49"/>
      <c r="E97" s="49"/>
      <c r="F97" s="49"/>
      <c r="G97" s="50"/>
      <c r="H97" s="21"/>
      <c r="I97" s="21"/>
      <c r="J97" s="21"/>
      <c r="K97" s="21"/>
      <c r="L97" s="21"/>
      <c r="M97" s="16"/>
      <c r="N97" s="16"/>
    </row>
    <row r="98" spans="2:14" ht="27" customHeight="1" thickBot="1" x14ac:dyDescent="0.35">
      <c r="B98" s="26" t="s">
        <v>38</v>
      </c>
      <c r="C98" s="48" t="s">
        <v>65</v>
      </c>
      <c r="D98" s="49"/>
      <c r="E98" s="49"/>
      <c r="F98" s="49"/>
      <c r="G98" s="50"/>
      <c r="H98" s="21"/>
      <c r="I98" s="21"/>
      <c r="J98" s="21"/>
      <c r="K98" s="21"/>
      <c r="L98" s="21"/>
      <c r="M98" s="16"/>
      <c r="N98" s="16"/>
    </row>
    <row r="99" spans="2:14" ht="27" customHeight="1" thickBot="1" x14ac:dyDescent="0.35">
      <c r="B99" s="26" t="s">
        <v>39</v>
      </c>
      <c r="C99" s="48" t="s">
        <v>66</v>
      </c>
      <c r="D99" s="49"/>
      <c r="E99" s="49"/>
      <c r="F99" s="49"/>
      <c r="G99" s="50"/>
      <c r="H99" s="21"/>
      <c r="I99" s="21"/>
      <c r="J99" s="21"/>
      <c r="K99" s="21"/>
      <c r="L99" s="21"/>
      <c r="M99" s="16"/>
      <c r="N99" s="16"/>
    </row>
    <row r="100" spans="2:14" ht="22.5" thickBot="1" x14ac:dyDescent="0.35">
      <c r="B100" s="18"/>
      <c r="C100" s="21"/>
      <c r="D100" s="21"/>
      <c r="E100" s="21"/>
      <c r="F100" s="21"/>
      <c r="G100" s="21"/>
      <c r="H100" s="21"/>
      <c r="I100" s="21"/>
      <c r="J100" s="21"/>
      <c r="K100" s="21"/>
      <c r="L100" s="21"/>
      <c r="M100" s="16"/>
      <c r="N100" s="16"/>
    </row>
    <row r="101" spans="2:14" ht="26.65" customHeight="1" thickBot="1" x14ac:dyDescent="0.35">
      <c r="B101" s="26" t="s">
        <v>169</v>
      </c>
      <c r="C101" s="48" t="s">
        <v>171</v>
      </c>
      <c r="D101" s="49"/>
      <c r="E101" s="49"/>
      <c r="F101" s="49"/>
      <c r="G101" s="50"/>
      <c r="H101" s="21"/>
      <c r="I101" s="21"/>
      <c r="J101" s="21"/>
      <c r="K101" s="21"/>
      <c r="L101" s="21"/>
      <c r="M101" s="16"/>
      <c r="N101" s="16"/>
    </row>
    <row r="102" spans="2:14" ht="27" customHeight="1" thickBot="1" x14ac:dyDescent="0.35">
      <c r="B102" s="26" t="s">
        <v>170</v>
      </c>
      <c r="C102" s="48" t="s">
        <v>172</v>
      </c>
      <c r="D102" s="49"/>
      <c r="E102" s="49"/>
      <c r="F102" s="49"/>
      <c r="G102" s="50"/>
      <c r="H102" s="21"/>
      <c r="I102" s="21"/>
      <c r="J102" s="21"/>
      <c r="K102" s="21"/>
      <c r="L102" s="21"/>
      <c r="M102" s="16"/>
      <c r="N102" s="16"/>
    </row>
    <row r="103" spans="2:14" ht="22.5" thickBot="1" x14ac:dyDescent="0.35">
      <c r="B103" s="18"/>
      <c r="C103" s="21"/>
      <c r="D103" s="21"/>
      <c r="E103" s="21"/>
      <c r="F103" s="21"/>
      <c r="G103" s="21"/>
      <c r="H103" s="21"/>
      <c r="I103" s="21"/>
      <c r="J103" s="21"/>
      <c r="K103" s="21"/>
      <c r="L103" s="21"/>
      <c r="M103" s="16"/>
      <c r="N103" s="16"/>
    </row>
    <row r="104" spans="2:14" ht="33" customHeight="1" thickBot="1" x14ac:dyDescent="0.3">
      <c r="B104" s="26" t="s">
        <v>31</v>
      </c>
      <c r="C104" s="48" t="s">
        <v>97</v>
      </c>
      <c r="D104" s="49"/>
      <c r="E104" s="49"/>
      <c r="F104" s="49"/>
      <c r="G104" s="49"/>
      <c r="H104" s="49"/>
      <c r="I104" s="49"/>
      <c r="J104" s="49"/>
      <c r="K104" s="49"/>
      <c r="L104" s="49"/>
      <c r="M104" s="51"/>
      <c r="N104" s="52"/>
    </row>
    <row r="105" spans="2:14" ht="33" customHeight="1" thickBot="1" x14ac:dyDescent="0.3">
      <c r="B105" s="26" t="s">
        <v>25</v>
      </c>
      <c r="C105" s="48" t="s">
        <v>98</v>
      </c>
      <c r="D105" s="49"/>
      <c r="E105" s="49"/>
      <c r="F105" s="49"/>
      <c r="G105" s="49"/>
      <c r="H105" s="49"/>
      <c r="I105" s="49"/>
      <c r="J105" s="49"/>
      <c r="K105" s="49"/>
      <c r="L105" s="49"/>
      <c r="M105" s="51"/>
      <c r="N105" s="52"/>
    </row>
    <row r="106" spans="2:14" ht="33" customHeight="1" thickBot="1" x14ac:dyDescent="0.3">
      <c r="B106" s="26" t="s">
        <v>40</v>
      </c>
      <c r="C106" s="48" t="s">
        <v>99</v>
      </c>
      <c r="D106" s="49"/>
      <c r="E106" s="49"/>
      <c r="F106" s="49"/>
      <c r="G106" s="49"/>
      <c r="H106" s="49"/>
      <c r="I106" s="49"/>
      <c r="J106" s="49"/>
      <c r="K106" s="49"/>
      <c r="L106" s="49"/>
      <c r="M106" s="51"/>
      <c r="N106" s="52"/>
    </row>
    <row r="107" spans="2:14" ht="21" x14ac:dyDescent="0.3">
      <c r="B107" s="17"/>
      <c r="C107" s="16"/>
      <c r="D107" s="16"/>
      <c r="E107" s="16"/>
      <c r="F107" s="16"/>
      <c r="G107" s="16"/>
      <c r="H107" s="16"/>
      <c r="I107" s="16"/>
      <c r="J107" s="16"/>
      <c r="K107" s="16"/>
      <c r="L107" s="16"/>
      <c r="M107" s="16"/>
      <c r="N107" s="16"/>
    </row>
    <row r="108" spans="2:14" ht="21.75" x14ac:dyDescent="0.3">
      <c r="B108" s="18" t="s">
        <v>85</v>
      </c>
      <c r="C108" s="16"/>
      <c r="D108" s="16"/>
      <c r="E108" s="16"/>
      <c r="F108" s="16"/>
      <c r="G108" s="16"/>
      <c r="H108" s="16"/>
      <c r="I108" s="16"/>
      <c r="J108" s="16"/>
      <c r="K108" s="16"/>
      <c r="L108" s="16"/>
      <c r="M108" s="16"/>
      <c r="N108" s="16"/>
    </row>
    <row r="109" spans="2:14" ht="21.75" x14ac:dyDescent="0.3">
      <c r="B109" s="18"/>
      <c r="C109" s="16"/>
      <c r="D109" s="16"/>
      <c r="E109" s="16"/>
      <c r="F109" s="16"/>
      <c r="G109" s="16"/>
      <c r="H109" s="16"/>
      <c r="I109" s="16"/>
      <c r="J109" s="16"/>
      <c r="K109" s="16"/>
      <c r="L109" s="16"/>
      <c r="M109" s="16"/>
      <c r="N109" s="16"/>
    </row>
    <row r="110" spans="2:14" ht="21" x14ac:dyDescent="0.3">
      <c r="B110" s="17"/>
      <c r="C110" s="16"/>
      <c r="D110" s="16"/>
      <c r="E110" s="16"/>
      <c r="F110" s="16"/>
      <c r="G110" s="16"/>
      <c r="H110" s="16"/>
      <c r="I110" s="16"/>
      <c r="J110" s="16"/>
      <c r="K110" s="16"/>
      <c r="L110" s="16"/>
      <c r="M110" s="16"/>
      <c r="N110" s="16"/>
    </row>
    <row r="111" spans="2:14" ht="21" x14ac:dyDescent="0.3">
      <c r="B111" s="15" t="s">
        <v>13</v>
      </c>
      <c r="C111" s="16"/>
      <c r="D111" s="16"/>
      <c r="E111" s="16"/>
      <c r="F111" s="16"/>
      <c r="G111" s="16"/>
      <c r="H111" s="16"/>
      <c r="I111" s="16"/>
      <c r="J111" s="16"/>
      <c r="K111" s="16"/>
      <c r="L111" s="16"/>
      <c r="M111" s="16"/>
      <c r="N111" s="16"/>
    </row>
    <row r="112" spans="2:14" ht="21" x14ac:dyDescent="0.3">
      <c r="B112" s="17" t="s">
        <v>157</v>
      </c>
      <c r="C112" s="16"/>
      <c r="D112" s="16"/>
      <c r="E112" s="16"/>
      <c r="F112" s="16"/>
      <c r="G112" s="16"/>
      <c r="H112" s="16"/>
      <c r="I112" s="16"/>
      <c r="J112" s="16"/>
      <c r="K112" s="16"/>
      <c r="L112" s="16"/>
      <c r="M112" s="16"/>
      <c r="N112" s="16"/>
    </row>
    <row r="113" spans="2:14" ht="21" x14ac:dyDescent="0.3">
      <c r="B113" s="17"/>
      <c r="C113" s="16"/>
      <c r="D113" s="16"/>
      <c r="E113" s="16"/>
      <c r="F113" s="16"/>
      <c r="G113" s="16"/>
      <c r="H113" s="16"/>
      <c r="I113" s="16"/>
      <c r="J113" s="16"/>
      <c r="K113" s="16"/>
      <c r="L113" s="16"/>
      <c r="M113" s="16"/>
      <c r="N113" s="16"/>
    </row>
    <row r="114" spans="2:14" ht="21" x14ac:dyDescent="0.3">
      <c r="B114" s="15" t="s">
        <v>1</v>
      </c>
      <c r="C114" s="16"/>
      <c r="D114" s="16"/>
      <c r="E114" s="16"/>
      <c r="F114" s="16"/>
      <c r="G114" s="16"/>
      <c r="H114" s="16"/>
      <c r="I114" s="16"/>
      <c r="J114" s="16"/>
      <c r="K114" s="16"/>
      <c r="L114" s="16"/>
      <c r="M114" s="16"/>
      <c r="N114" s="16"/>
    </row>
    <row r="115" spans="2:14" ht="21.75" x14ac:dyDescent="0.3">
      <c r="B115" s="18" t="s">
        <v>86</v>
      </c>
      <c r="C115" s="16"/>
      <c r="D115" s="16"/>
      <c r="E115" s="16"/>
      <c r="F115" s="16"/>
      <c r="G115" s="16"/>
      <c r="H115" s="16"/>
      <c r="I115" s="16"/>
      <c r="J115" s="16"/>
      <c r="K115" s="16"/>
      <c r="L115" s="16"/>
      <c r="M115" s="16"/>
      <c r="N115" s="16"/>
    </row>
    <row r="116" spans="2:14" ht="21.75" x14ac:dyDescent="0.3">
      <c r="B116" s="18" t="s">
        <v>82</v>
      </c>
      <c r="I116" s="16"/>
      <c r="J116" s="16"/>
      <c r="K116" s="16"/>
      <c r="L116" s="16"/>
      <c r="M116" s="16"/>
      <c r="N116" s="16"/>
    </row>
    <row r="117" spans="2:14" ht="21" thickBot="1" x14ac:dyDescent="0.35">
      <c r="B117" s="22"/>
      <c r="I117" s="16"/>
      <c r="J117" s="16"/>
      <c r="K117" s="16"/>
      <c r="L117" s="16"/>
      <c r="M117" s="16"/>
      <c r="N117" s="16"/>
    </row>
    <row r="118" spans="2:14" ht="27" customHeight="1" thickBot="1" x14ac:dyDescent="0.35">
      <c r="B118" s="23" t="s">
        <v>2</v>
      </c>
      <c r="C118" s="24" t="s">
        <v>3</v>
      </c>
      <c r="D118" s="24" t="s">
        <v>4</v>
      </c>
      <c r="E118" s="24" t="s">
        <v>101</v>
      </c>
      <c r="F118" s="24" t="s">
        <v>5</v>
      </c>
      <c r="H118" s="16"/>
      <c r="I118" s="16"/>
      <c r="J118" s="16"/>
      <c r="K118" s="16"/>
      <c r="L118" s="16"/>
      <c r="M118" s="16"/>
      <c r="N118" s="16"/>
    </row>
    <row r="119" spans="2:14" ht="27" customHeight="1" thickBot="1" x14ac:dyDescent="0.35">
      <c r="B119" s="23" t="s">
        <v>6</v>
      </c>
      <c r="C119" s="24" t="s">
        <v>7</v>
      </c>
      <c r="D119" s="24" t="s">
        <v>8</v>
      </c>
      <c r="E119" s="24" t="s">
        <v>100</v>
      </c>
      <c r="I119" s="16"/>
      <c r="J119" s="16"/>
      <c r="K119" s="16"/>
      <c r="L119" s="16"/>
      <c r="M119" s="16"/>
      <c r="N119" s="16"/>
    </row>
    <row r="120" spans="2:14" ht="21.75" x14ac:dyDescent="0.3">
      <c r="B120" s="18"/>
      <c r="C120" s="16"/>
      <c r="D120" s="16"/>
      <c r="E120" s="16"/>
      <c r="F120" s="16"/>
      <c r="G120" s="16"/>
      <c r="H120" s="16"/>
      <c r="I120" s="16"/>
      <c r="J120" s="16"/>
      <c r="K120" s="16"/>
      <c r="L120" s="16"/>
      <c r="M120" s="16"/>
      <c r="N120" s="16"/>
    </row>
    <row r="121" spans="2:14" ht="21" x14ac:dyDescent="0.3">
      <c r="B121" s="17"/>
      <c r="C121" s="16"/>
      <c r="D121" s="16"/>
      <c r="E121" s="16"/>
      <c r="F121" s="16"/>
      <c r="G121" s="16"/>
      <c r="H121" s="16"/>
      <c r="I121" s="16"/>
      <c r="J121" s="16"/>
      <c r="K121" s="16"/>
      <c r="L121" s="16"/>
      <c r="M121" s="16"/>
      <c r="N121" s="16"/>
    </row>
    <row r="122" spans="2:14" ht="21" x14ac:dyDescent="0.3">
      <c r="B122" s="15" t="s">
        <v>14</v>
      </c>
      <c r="C122" s="16"/>
      <c r="D122" s="16"/>
      <c r="E122" s="16"/>
      <c r="F122" s="16"/>
      <c r="G122" s="16"/>
      <c r="H122" s="16"/>
      <c r="I122" s="16"/>
      <c r="J122" s="16"/>
      <c r="K122" s="16"/>
      <c r="L122" s="16"/>
      <c r="M122" s="16"/>
      <c r="N122" s="16"/>
    </row>
    <row r="123" spans="2:14" ht="21" x14ac:dyDescent="0.3">
      <c r="B123" s="17" t="s">
        <v>158</v>
      </c>
      <c r="C123" s="16"/>
      <c r="D123" s="16"/>
      <c r="E123" s="16"/>
      <c r="F123" s="16"/>
      <c r="G123" s="16"/>
      <c r="H123" s="16"/>
      <c r="I123" s="16"/>
      <c r="J123" s="16"/>
      <c r="K123" s="16"/>
      <c r="L123" s="16"/>
      <c r="M123" s="16"/>
      <c r="N123" s="16"/>
    </row>
    <row r="124" spans="2:14" ht="21" x14ac:dyDescent="0.3">
      <c r="B124" s="17"/>
      <c r="C124" s="16"/>
      <c r="D124" s="16"/>
      <c r="E124" s="16"/>
      <c r="F124" s="16"/>
      <c r="G124" s="16"/>
      <c r="H124" s="16"/>
      <c r="I124" s="16"/>
      <c r="J124" s="16"/>
      <c r="K124" s="16"/>
      <c r="L124" s="16"/>
      <c r="M124" s="16"/>
      <c r="N124" s="16"/>
    </row>
    <row r="125" spans="2:14" ht="21" x14ac:dyDescent="0.3">
      <c r="B125" s="15" t="s">
        <v>1</v>
      </c>
      <c r="C125" s="16"/>
      <c r="D125" s="16"/>
      <c r="E125" s="16"/>
      <c r="F125" s="16"/>
      <c r="G125" s="16"/>
      <c r="H125" s="16"/>
      <c r="I125" s="16"/>
      <c r="J125" s="16"/>
      <c r="K125" s="16"/>
      <c r="L125" s="16"/>
      <c r="M125" s="16"/>
      <c r="N125" s="16"/>
    </row>
    <row r="126" spans="2:14" ht="21.75" x14ac:dyDescent="0.3">
      <c r="B126" s="18" t="s">
        <v>80</v>
      </c>
      <c r="I126" s="16"/>
      <c r="J126" s="16"/>
      <c r="K126" s="16"/>
      <c r="L126" s="16"/>
      <c r="M126" s="16"/>
      <c r="N126" s="16"/>
    </row>
    <row r="127" spans="2:14" ht="21.75" x14ac:dyDescent="0.3">
      <c r="B127" s="18" t="s">
        <v>82</v>
      </c>
      <c r="I127" s="16"/>
      <c r="J127" s="16"/>
      <c r="K127" s="16"/>
      <c r="L127" s="16"/>
      <c r="M127" s="16"/>
      <c r="N127" s="16"/>
    </row>
    <row r="128" spans="2:14" ht="21" thickBot="1" x14ac:dyDescent="0.35">
      <c r="B128" s="22"/>
      <c r="I128" s="16"/>
      <c r="J128" s="16"/>
      <c r="K128" s="16"/>
      <c r="L128" s="16"/>
      <c r="M128" s="16"/>
      <c r="N128" s="16"/>
    </row>
    <row r="129" spans="2:14" ht="27" customHeight="1" thickBot="1" x14ac:dyDescent="0.35">
      <c r="B129" s="23" t="s">
        <v>2</v>
      </c>
      <c r="C129" s="24" t="s">
        <v>3</v>
      </c>
      <c r="D129" s="24" t="s">
        <v>4</v>
      </c>
      <c r="E129" s="24" t="s">
        <v>101</v>
      </c>
      <c r="F129" s="24" t="s">
        <v>5</v>
      </c>
      <c r="H129" s="16"/>
      <c r="I129" s="16"/>
      <c r="J129" s="16"/>
      <c r="K129" s="16"/>
      <c r="L129" s="16"/>
      <c r="M129" s="16"/>
      <c r="N129" s="16"/>
    </row>
    <row r="130" spans="2:14" ht="27" customHeight="1" thickBot="1" x14ac:dyDescent="0.35">
      <c r="B130" s="23" t="s">
        <v>6</v>
      </c>
      <c r="C130" s="24" t="s">
        <v>7</v>
      </c>
      <c r="D130" s="24" t="s">
        <v>8</v>
      </c>
      <c r="E130" s="24" t="s">
        <v>100</v>
      </c>
      <c r="I130" s="16"/>
      <c r="J130" s="16"/>
      <c r="K130" s="16"/>
      <c r="L130" s="16"/>
      <c r="M130" s="16"/>
      <c r="N130" s="16"/>
    </row>
    <row r="131" spans="2:14" ht="21.75" x14ac:dyDescent="0.3">
      <c r="B131" s="18"/>
      <c r="C131" s="16"/>
      <c r="D131" s="16"/>
      <c r="E131" s="16"/>
      <c r="F131" s="16"/>
      <c r="G131" s="16"/>
      <c r="H131" s="16"/>
      <c r="I131" s="16"/>
      <c r="J131" s="16"/>
      <c r="K131" s="16"/>
      <c r="L131" s="16"/>
      <c r="M131" s="16"/>
      <c r="N131" s="16"/>
    </row>
    <row r="132" spans="2:14" ht="21" x14ac:dyDescent="0.3">
      <c r="B132" s="17"/>
      <c r="C132" s="16"/>
      <c r="D132" s="16"/>
      <c r="E132" s="16"/>
      <c r="F132" s="16"/>
      <c r="G132" s="16"/>
      <c r="H132" s="16"/>
      <c r="I132" s="16"/>
      <c r="J132" s="16"/>
      <c r="K132" s="16"/>
      <c r="L132" s="16"/>
      <c r="M132" s="16"/>
      <c r="N132" s="16"/>
    </row>
    <row r="133" spans="2:14" ht="21" x14ac:dyDescent="0.3">
      <c r="B133" s="15" t="s">
        <v>15</v>
      </c>
      <c r="C133" s="16"/>
      <c r="D133" s="16"/>
      <c r="E133" s="16"/>
      <c r="F133" s="16"/>
      <c r="G133" s="16"/>
      <c r="H133" s="16"/>
      <c r="I133" s="16"/>
      <c r="J133" s="16"/>
      <c r="K133" s="16"/>
      <c r="L133" s="16"/>
      <c r="M133" s="16"/>
      <c r="N133" s="16"/>
    </row>
    <row r="134" spans="2:14" ht="21" x14ac:dyDescent="0.3">
      <c r="B134" s="17" t="s">
        <v>159</v>
      </c>
      <c r="C134" s="16"/>
      <c r="D134" s="16"/>
      <c r="E134" s="16"/>
      <c r="F134" s="16"/>
      <c r="G134" s="16"/>
      <c r="H134" s="16"/>
      <c r="I134" s="16"/>
      <c r="J134" s="16"/>
      <c r="K134" s="16"/>
      <c r="L134" s="16"/>
      <c r="M134" s="16"/>
      <c r="N134" s="16"/>
    </row>
    <row r="135" spans="2:14" ht="21" x14ac:dyDescent="0.3">
      <c r="B135" s="17"/>
      <c r="C135" s="16"/>
      <c r="D135" s="16"/>
      <c r="E135" s="16"/>
      <c r="F135" s="16"/>
      <c r="G135" s="16"/>
      <c r="H135" s="16"/>
      <c r="I135" s="16"/>
      <c r="J135" s="16"/>
      <c r="K135" s="16"/>
      <c r="L135" s="16"/>
      <c r="M135" s="16"/>
      <c r="N135" s="16"/>
    </row>
    <row r="136" spans="2:14" ht="21" x14ac:dyDescent="0.3">
      <c r="B136" s="15" t="s">
        <v>1</v>
      </c>
      <c r="C136" s="16"/>
      <c r="D136" s="16"/>
      <c r="E136" s="16"/>
      <c r="F136" s="16"/>
      <c r="G136" s="16"/>
      <c r="H136" s="16"/>
      <c r="I136" s="16"/>
      <c r="J136" s="16"/>
      <c r="K136" s="16"/>
      <c r="L136" s="16"/>
      <c r="M136" s="16"/>
      <c r="N136" s="16"/>
    </row>
    <row r="137" spans="2:14" ht="21.75" x14ac:dyDescent="0.3">
      <c r="B137" s="18" t="s">
        <v>80</v>
      </c>
      <c r="I137" s="16"/>
      <c r="J137" s="16"/>
      <c r="K137" s="16"/>
      <c r="L137" s="16"/>
      <c r="M137" s="16"/>
      <c r="N137" s="16"/>
    </row>
    <row r="138" spans="2:14" ht="21.75" x14ac:dyDescent="0.3">
      <c r="B138" s="18" t="s">
        <v>82</v>
      </c>
      <c r="I138" s="16"/>
      <c r="J138" s="16"/>
      <c r="K138" s="16"/>
      <c r="L138" s="16"/>
      <c r="M138" s="16"/>
      <c r="N138" s="16"/>
    </row>
    <row r="139" spans="2:14" ht="21" thickBot="1" x14ac:dyDescent="0.35">
      <c r="B139" s="22"/>
      <c r="I139" s="16"/>
      <c r="J139" s="16"/>
      <c r="K139" s="16"/>
      <c r="L139" s="16"/>
      <c r="M139" s="16"/>
      <c r="N139" s="16"/>
    </row>
    <row r="140" spans="2:14" ht="27" customHeight="1" thickBot="1" x14ac:dyDescent="0.35">
      <c r="B140" s="23" t="s">
        <v>2</v>
      </c>
      <c r="C140" s="24" t="s">
        <v>3</v>
      </c>
      <c r="D140" s="24" t="s">
        <v>4</v>
      </c>
      <c r="E140" s="24" t="s">
        <v>101</v>
      </c>
      <c r="F140" s="24" t="s">
        <v>5</v>
      </c>
      <c r="H140" s="16"/>
      <c r="I140" s="16"/>
      <c r="J140" s="16"/>
      <c r="K140" s="16"/>
      <c r="L140" s="16"/>
      <c r="M140" s="16"/>
      <c r="N140" s="16"/>
    </row>
    <row r="141" spans="2:14" ht="27" customHeight="1" thickBot="1" x14ac:dyDescent="0.35">
      <c r="B141" s="23" t="s">
        <v>6</v>
      </c>
      <c r="C141" s="24" t="s">
        <v>7</v>
      </c>
      <c r="D141" s="24" t="s">
        <v>8</v>
      </c>
      <c r="E141" s="24" t="s">
        <v>100</v>
      </c>
      <c r="I141" s="16"/>
      <c r="J141" s="16"/>
      <c r="K141" s="16"/>
      <c r="L141" s="16"/>
      <c r="M141" s="16"/>
      <c r="N141" s="16"/>
    </row>
    <row r="142" spans="2:14" ht="21" x14ac:dyDescent="0.3">
      <c r="B142" s="20"/>
      <c r="C142" s="16"/>
      <c r="D142" s="16"/>
      <c r="E142" s="16"/>
      <c r="F142" s="16"/>
      <c r="G142" s="16"/>
      <c r="H142" s="16"/>
      <c r="I142" s="16"/>
      <c r="J142" s="16"/>
      <c r="K142" s="16"/>
      <c r="L142" s="16"/>
      <c r="M142" s="16"/>
      <c r="N142" s="16"/>
    </row>
    <row r="143" spans="2:14" ht="21" x14ac:dyDescent="0.3">
      <c r="B143" s="20"/>
      <c r="C143" s="16"/>
      <c r="D143" s="16"/>
      <c r="E143" s="16"/>
      <c r="F143" s="16"/>
      <c r="G143" s="16"/>
      <c r="H143" s="16"/>
      <c r="I143" s="16"/>
      <c r="J143" s="16"/>
      <c r="K143" s="16"/>
      <c r="L143" s="16"/>
      <c r="M143" s="16"/>
      <c r="N143" s="16"/>
    </row>
    <row r="144" spans="2:14" ht="21" x14ac:dyDescent="0.3">
      <c r="B144" s="15" t="s">
        <v>16</v>
      </c>
      <c r="C144" s="16"/>
      <c r="D144" s="16"/>
      <c r="E144" s="16"/>
      <c r="F144" s="16"/>
      <c r="G144" s="16"/>
      <c r="H144" s="16"/>
      <c r="I144" s="16"/>
      <c r="J144" s="16"/>
      <c r="K144" s="16"/>
      <c r="L144" s="16"/>
      <c r="M144" s="16"/>
      <c r="N144" s="16"/>
    </row>
    <row r="145" spans="2:14" ht="21" x14ac:dyDescent="0.3">
      <c r="B145" s="17" t="s">
        <v>34</v>
      </c>
      <c r="C145" s="16"/>
      <c r="D145" s="16"/>
      <c r="E145" s="16"/>
      <c r="F145" s="16"/>
      <c r="G145" s="16"/>
      <c r="H145" s="16"/>
      <c r="I145" s="16"/>
      <c r="J145" s="16"/>
      <c r="K145" s="16"/>
      <c r="L145" s="16"/>
      <c r="M145" s="16"/>
      <c r="N145" s="16"/>
    </row>
    <row r="146" spans="2:14" ht="21" x14ac:dyDescent="0.3">
      <c r="B146" s="17"/>
      <c r="C146" s="16"/>
      <c r="D146" s="16"/>
      <c r="E146" s="16"/>
      <c r="F146" s="16"/>
      <c r="G146" s="16"/>
      <c r="H146" s="16"/>
      <c r="I146" s="16"/>
      <c r="J146" s="16"/>
      <c r="K146" s="16"/>
      <c r="L146" s="16"/>
      <c r="M146" s="16"/>
      <c r="N146" s="16"/>
    </row>
    <row r="147" spans="2:14" ht="21" x14ac:dyDescent="0.3">
      <c r="B147" s="15" t="s">
        <v>1</v>
      </c>
      <c r="C147" s="16"/>
      <c r="D147" s="16"/>
      <c r="E147" s="16"/>
      <c r="F147" s="16"/>
      <c r="G147" s="16"/>
      <c r="H147" s="16"/>
      <c r="I147" s="16"/>
      <c r="J147" s="16"/>
      <c r="K147" s="16"/>
      <c r="L147" s="16"/>
      <c r="M147" s="16"/>
      <c r="N147" s="16"/>
    </row>
    <row r="148" spans="2:14" ht="21.75" x14ac:dyDescent="0.3">
      <c r="B148" s="18" t="s">
        <v>91</v>
      </c>
      <c r="G148" s="16"/>
      <c r="H148" s="16"/>
      <c r="I148" s="16"/>
      <c r="J148" s="16"/>
      <c r="K148" s="16"/>
      <c r="L148" s="16"/>
      <c r="M148" s="16"/>
      <c r="N148" s="16"/>
    </row>
    <row r="149" spans="2:14" ht="21.75" x14ac:dyDescent="0.3">
      <c r="B149" s="18" t="s">
        <v>163</v>
      </c>
      <c r="G149" s="16"/>
      <c r="H149" s="16"/>
      <c r="I149" s="16"/>
      <c r="J149" s="16"/>
      <c r="K149" s="16"/>
      <c r="L149" s="16"/>
      <c r="M149" s="16"/>
      <c r="N149" s="16"/>
    </row>
    <row r="150" spans="2:14" ht="21.75" x14ac:dyDescent="0.3">
      <c r="B150" s="18" t="s">
        <v>164</v>
      </c>
      <c r="G150" s="16"/>
      <c r="H150" s="16"/>
      <c r="I150" s="16"/>
      <c r="J150" s="16"/>
      <c r="K150" s="16"/>
      <c r="L150" s="16"/>
      <c r="M150" s="16"/>
      <c r="N150" s="16"/>
    </row>
    <row r="151" spans="2:14" ht="21.75" x14ac:dyDescent="0.3">
      <c r="B151" s="18" t="s">
        <v>165</v>
      </c>
      <c r="G151" s="16"/>
      <c r="H151" s="16"/>
      <c r="I151" s="16"/>
      <c r="J151" s="16"/>
      <c r="K151" s="16"/>
      <c r="L151" s="16"/>
      <c r="M151" s="16"/>
      <c r="N151" s="16"/>
    </row>
    <row r="152" spans="2:14" ht="21.75" x14ac:dyDescent="0.3">
      <c r="B152" s="18" t="s">
        <v>126</v>
      </c>
      <c r="G152" s="16"/>
      <c r="H152" s="16"/>
      <c r="I152" s="16"/>
      <c r="J152" s="16"/>
      <c r="K152" s="16"/>
      <c r="L152" s="16"/>
      <c r="M152" s="16"/>
      <c r="N152" s="16"/>
    </row>
    <row r="153" spans="2:14" ht="21" x14ac:dyDescent="0.3">
      <c r="B153" s="17"/>
      <c r="C153" s="16"/>
      <c r="D153" s="16"/>
      <c r="E153" s="16"/>
      <c r="F153" s="16"/>
      <c r="G153" s="16"/>
      <c r="H153" s="16"/>
      <c r="I153" s="16"/>
      <c r="J153" s="16"/>
      <c r="K153" s="16"/>
      <c r="L153" s="16"/>
      <c r="M153" s="16"/>
      <c r="N153" s="16"/>
    </row>
    <row r="154" spans="2:14" ht="21" x14ac:dyDescent="0.3">
      <c r="B154" s="17"/>
      <c r="C154" s="16"/>
      <c r="D154" s="16"/>
      <c r="E154" s="16"/>
      <c r="F154" s="16"/>
      <c r="G154" s="16"/>
      <c r="H154" s="16"/>
      <c r="I154" s="16"/>
      <c r="J154" s="16"/>
      <c r="K154" s="16"/>
      <c r="L154" s="16"/>
      <c r="M154" s="16"/>
      <c r="N154" s="16"/>
    </row>
    <row r="155" spans="2:14" ht="21" x14ac:dyDescent="0.3">
      <c r="B155" s="15" t="s">
        <v>17</v>
      </c>
      <c r="C155" s="16"/>
      <c r="D155" s="16"/>
      <c r="E155" s="16"/>
      <c r="F155" s="16"/>
      <c r="G155" s="16"/>
      <c r="H155" s="16"/>
      <c r="I155" s="16"/>
      <c r="J155" s="16"/>
      <c r="K155" s="16"/>
      <c r="L155" s="16"/>
      <c r="M155" s="16"/>
      <c r="N155" s="16"/>
    </row>
    <row r="156" spans="2:14" ht="21" x14ac:dyDescent="0.3">
      <c r="B156" s="17" t="s">
        <v>33</v>
      </c>
      <c r="C156" s="16"/>
      <c r="D156" s="16"/>
      <c r="E156" s="16"/>
      <c r="F156" s="16"/>
      <c r="G156" s="16"/>
      <c r="H156" s="16"/>
      <c r="I156" s="16"/>
      <c r="J156" s="16"/>
      <c r="K156" s="16"/>
      <c r="L156" s="16"/>
      <c r="M156" s="16"/>
      <c r="N156" s="16"/>
    </row>
    <row r="157" spans="2:14" ht="21" x14ac:dyDescent="0.3">
      <c r="B157" s="17"/>
      <c r="C157" s="16"/>
      <c r="D157" s="16"/>
      <c r="E157" s="16"/>
      <c r="F157" s="16"/>
      <c r="G157" s="16"/>
      <c r="H157" s="16"/>
      <c r="I157" s="16"/>
      <c r="J157" s="16"/>
      <c r="K157" s="16"/>
      <c r="L157" s="16"/>
      <c r="M157" s="16"/>
      <c r="N157" s="16"/>
    </row>
    <row r="158" spans="2:14" ht="21" x14ac:dyDescent="0.3">
      <c r="B158" s="15" t="s">
        <v>1</v>
      </c>
      <c r="C158" s="16"/>
      <c r="D158" s="16"/>
      <c r="E158" s="16"/>
      <c r="F158" s="16"/>
      <c r="G158" s="16"/>
      <c r="H158" s="16"/>
      <c r="I158" s="16"/>
      <c r="J158" s="16"/>
      <c r="K158" s="16"/>
      <c r="L158" s="16"/>
      <c r="M158" s="16"/>
      <c r="N158" s="16"/>
    </row>
    <row r="159" spans="2:14" ht="21.75" x14ac:dyDescent="0.3">
      <c r="B159" s="18" t="s">
        <v>132</v>
      </c>
      <c r="H159" s="16"/>
      <c r="I159" s="16"/>
      <c r="J159" s="16"/>
      <c r="K159" s="16"/>
      <c r="L159" s="16"/>
      <c r="M159" s="16"/>
      <c r="N159" s="16"/>
    </row>
    <row r="160" spans="2:14" ht="21.75" x14ac:dyDescent="0.3">
      <c r="B160" s="18" t="s">
        <v>133</v>
      </c>
      <c r="H160" s="16"/>
      <c r="I160" s="16"/>
      <c r="J160" s="16"/>
      <c r="K160" s="16"/>
      <c r="L160" s="16"/>
      <c r="M160" s="16"/>
      <c r="N160" s="16"/>
    </row>
    <row r="161" spans="2:14" ht="21.75" x14ac:dyDescent="0.3">
      <c r="B161" s="18" t="s">
        <v>134</v>
      </c>
      <c r="H161" s="16"/>
      <c r="I161" s="16"/>
      <c r="J161" s="16"/>
      <c r="K161" s="16"/>
      <c r="L161" s="16"/>
      <c r="M161" s="16"/>
      <c r="N161" s="16"/>
    </row>
    <row r="162" spans="2:14" ht="22.5" thickBot="1" x14ac:dyDescent="0.35">
      <c r="B162" s="18"/>
      <c r="H162" s="16"/>
      <c r="I162" s="16"/>
      <c r="J162" s="16"/>
      <c r="K162" s="16"/>
      <c r="L162" s="16"/>
      <c r="M162" s="16"/>
      <c r="N162" s="16"/>
    </row>
    <row r="163" spans="2:14" ht="27" customHeight="1" thickBot="1" x14ac:dyDescent="0.35">
      <c r="B163" s="23" t="s">
        <v>26</v>
      </c>
      <c r="C163" s="23" t="s">
        <v>37</v>
      </c>
      <c r="D163" s="23" t="s">
        <v>135</v>
      </c>
      <c r="E163" s="23" t="s">
        <v>136</v>
      </c>
      <c r="F163" s="23" t="s">
        <v>137</v>
      </c>
      <c r="G163" s="16"/>
      <c r="H163" s="16"/>
      <c r="I163" s="16"/>
      <c r="J163" s="16"/>
      <c r="K163" s="16"/>
      <c r="L163" s="16"/>
      <c r="M163" s="16"/>
      <c r="N163" s="16"/>
    </row>
    <row r="164" spans="2:14" ht="21.75" x14ac:dyDescent="0.3">
      <c r="B164" s="18"/>
      <c r="H164" s="16"/>
      <c r="I164" s="16"/>
      <c r="J164" s="16"/>
      <c r="K164" s="16"/>
      <c r="L164" s="16"/>
      <c r="M164" s="16"/>
      <c r="N164" s="16"/>
    </row>
    <row r="165" spans="2:14" ht="21.75" x14ac:dyDescent="0.3">
      <c r="B165" s="18" t="s">
        <v>138</v>
      </c>
      <c r="H165" s="16"/>
      <c r="I165" s="16"/>
      <c r="J165" s="16"/>
      <c r="K165" s="16"/>
      <c r="L165" s="16"/>
      <c r="M165" s="16"/>
      <c r="N165" s="16"/>
    </row>
    <row r="166" spans="2:14" ht="22.5" thickBot="1" x14ac:dyDescent="0.35">
      <c r="B166" s="18"/>
      <c r="H166" s="16"/>
      <c r="I166" s="16"/>
      <c r="J166" s="16"/>
      <c r="K166" s="16"/>
      <c r="L166" s="16"/>
      <c r="M166" s="16"/>
      <c r="N166" s="16"/>
    </row>
    <row r="167" spans="2:14" ht="27" customHeight="1" thickBot="1" x14ac:dyDescent="0.35">
      <c r="B167" s="23" t="s">
        <v>26</v>
      </c>
      <c r="C167" s="23" t="s">
        <v>37</v>
      </c>
      <c r="D167" s="23" t="s">
        <v>135</v>
      </c>
      <c r="E167" s="23" t="s">
        <v>139</v>
      </c>
      <c r="F167" s="23" t="s">
        <v>136</v>
      </c>
      <c r="G167" s="23" t="s">
        <v>137</v>
      </c>
      <c r="H167" s="16"/>
      <c r="I167" s="16"/>
      <c r="J167" s="16"/>
      <c r="K167" s="16"/>
      <c r="L167" s="16"/>
      <c r="M167" s="16"/>
      <c r="N167" s="16"/>
    </row>
    <row r="168" spans="2:14" ht="21" x14ac:dyDescent="0.3">
      <c r="B168" s="19"/>
      <c r="C168" s="16"/>
      <c r="D168" s="16"/>
      <c r="E168" s="16"/>
      <c r="F168" s="16"/>
      <c r="G168" s="16"/>
      <c r="H168" s="16"/>
      <c r="I168" s="16"/>
      <c r="J168" s="16"/>
      <c r="K168" s="16"/>
      <c r="L168" s="16"/>
      <c r="M168" s="16"/>
      <c r="N168" s="16"/>
    </row>
    <row r="169" spans="2:14" ht="21.75" x14ac:dyDescent="0.3">
      <c r="B169" s="18" t="s">
        <v>140</v>
      </c>
      <c r="C169" s="16"/>
      <c r="D169" s="16"/>
      <c r="E169" s="16"/>
      <c r="F169" s="16"/>
      <c r="G169" s="16"/>
      <c r="H169" s="16"/>
      <c r="I169" s="16"/>
      <c r="J169" s="16"/>
      <c r="K169" s="16"/>
      <c r="L169" s="16"/>
      <c r="M169" s="16"/>
      <c r="N169" s="16"/>
    </row>
    <row r="170" spans="2:14" ht="21.75" thickBot="1" x14ac:dyDescent="0.35">
      <c r="B170" s="19"/>
      <c r="C170" s="16"/>
      <c r="D170" s="16"/>
      <c r="E170" s="16"/>
      <c r="F170" s="16"/>
      <c r="G170" s="16"/>
      <c r="H170" s="16"/>
      <c r="I170" s="16"/>
      <c r="J170" s="16"/>
      <c r="K170" s="16"/>
      <c r="L170" s="16"/>
      <c r="M170" s="16"/>
      <c r="N170" s="16"/>
    </row>
    <row r="171" spans="2:14" ht="27" customHeight="1" thickBot="1" x14ac:dyDescent="0.35">
      <c r="B171" s="23" t="s">
        <v>141</v>
      </c>
      <c r="C171" s="23" t="s">
        <v>142</v>
      </c>
      <c r="D171" s="23" t="s">
        <v>143</v>
      </c>
      <c r="E171" s="23" t="s">
        <v>144</v>
      </c>
      <c r="F171" s="23" t="s">
        <v>145</v>
      </c>
      <c r="G171" s="23" t="s">
        <v>146</v>
      </c>
      <c r="H171" s="23" t="s">
        <v>147</v>
      </c>
      <c r="I171" s="16"/>
      <c r="J171" s="16"/>
      <c r="K171" s="16"/>
      <c r="L171" s="16"/>
      <c r="M171" s="16"/>
      <c r="N171" s="16"/>
    </row>
    <row r="172" spans="2:14" ht="21" x14ac:dyDescent="0.3">
      <c r="B172" s="19"/>
      <c r="C172" s="16"/>
      <c r="D172" s="16"/>
      <c r="E172" s="16"/>
      <c r="F172" s="16"/>
      <c r="G172" s="16"/>
      <c r="H172" s="16"/>
      <c r="I172" s="16"/>
      <c r="J172" s="16"/>
      <c r="K172" s="16"/>
      <c r="L172" s="16"/>
      <c r="M172" s="16"/>
      <c r="N172" s="16"/>
    </row>
    <row r="173" spans="2:14" ht="21.75" x14ac:dyDescent="0.3">
      <c r="B173" s="18" t="s">
        <v>148</v>
      </c>
      <c r="C173" s="16"/>
      <c r="D173" s="16"/>
      <c r="E173" s="16"/>
      <c r="F173" s="16"/>
      <c r="G173" s="16"/>
      <c r="H173" s="16"/>
      <c r="I173" s="16"/>
      <c r="J173" s="16"/>
      <c r="K173" s="16"/>
      <c r="L173" s="16"/>
      <c r="M173" s="16"/>
      <c r="N173" s="16"/>
    </row>
    <row r="174" spans="2:14" ht="21.75" x14ac:dyDescent="0.3">
      <c r="B174" s="18" t="s">
        <v>149</v>
      </c>
      <c r="C174" s="16"/>
      <c r="D174" s="16"/>
      <c r="E174" s="16"/>
      <c r="F174" s="16"/>
      <c r="G174" s="16"/>
      <c r="H174" s="16"/>
      <c r="I174" s="16"/>
      <c r="L174" s="16"/>
      <c r="M174" s="16"/>
      <c r="N174" s="16"/>
    </row>
    <row r="175" spans="2:14" ht="21" x14ac:dyDescent="0.3">
      <c r="B175" s="17"/>
      <c r="C175" s="16"/>
      <c r="D175" s="16"/>
      <c r="E175" s="16"/>
      <c r="F175" s="16"/>
      <c r="G175" s="16"/>
      <c r="H175" s="16"/>
      <c r="I175" s="16"/>
      <c r="J175" s="16"/>
      <c r="K175" s="16"/>
      <c r="L175" s="16"/>
      <c r="M175" s="16"/>
      <c r="N175" s="16"/>
    </row>
    <row r="176" spans="2:14" ht="21" x14ac:dyDescent="0.3">
      <c r="B176" s="17"/>
      <c r="C176" s="16"/>
      <c r="D176" s="16"/>
      <c r="E176" s="16"/>
      <c r="F176" s="16"/>
      <c r="G176" s="16"/>
      <c r="H176" s="16"/>
      <c r="I176" s="16"/>
      <c r="J176" s="16"/>
      <c r="K176" s="16"/>
      <c r="L176" s="16"/>
      <c r="M176" s="16"/>
      <c r="N176" s="16"/>
    </row>
    <row r="177" spans="2:14" ht="21" x14ac:dyDescent="0.3">
      <c r="B177" s="15" t="s">
        <v>69</v>
      </c>
      <c r="C177" s="16"/>
      <c r="D177" s="16"/>
      <c r="E177" s="16"/>
      <c r="F177" s="16"/>
      <c r="G177" s="16"/>
      <c r="H177" s="16"/>
      <c r="I177" s="16"/>
      <c r="J177" s="16"/>
      <c r="K177" s="16"/>
      <c r="L177" s="16"/>
      <c r="M177" s="16"/>
      <c r="N177" s="16"/>
    </row>
    <row r="178" spans="2:14" ht="21" x14ac:dyDescent="0.3">
      <c r="B178" s="17" t="s">
        <v>160</v>
      </c>
      <c r="C178" s="16"/>
      <c r="D178" s="16"/>
      <c r="E178" s="16"/>
      <c r="F178" s="16"/>
      <c r="G178" s="16"/>
      <c r="H178" s="16"/>
      <c r="I178" s="16"/>
      <c r="J178" s="16"/>
      <c r="K178" s="16"/>
      <c r="L178" s="16"/>
      <c r="M178" s="16"/>
      <c r="N178" s="16"/>
    </row>
    <row r="179" spans="2:14" ht="21" x14ac:dyDescent="0.3">
      <c r="B179" s="17"/>
      <c r="C179" s="16"/>
      <c r="D179" s="16"/>
      <c r="E179" s="16"/>
      <c r="F179" s="16"/>
      <c r="G179" s="16"/>
      <c r="H179" s="16"/>
      <c r="I179" s="16"/>
      <c r="J179" s="16"/>
      <c r="K179" s="16"/>
      <c r="L179" s="16"/>
      <c r="M179" s="16"/>
      <c r="N179" s="16"/>
    </row>
    <row r="180" spans="2:14" ht="21" x14ac:dyDescent="0.3">
      <c r="B180" s="15" t="s">
        <v>1</v>
      </c>
      <c r="C180" s="16"/>
      <c r="D180" s="16"/>
      <c r="E180" s="16"/>
      <c r="F180" s="16"/>
      <c r="G180" s="16"/>
      <c r="H180" s="16"/>
      <c r="I180" s="16"/>
      <c r="J180" s="16"/>
      <c r="K180" s="16"/>
      <c r="L180" s="16"/>
      <c r="M180" s="16"/>
      <c r="N180" s="16"/>
    </row>
    <row r="181" spans="2:14" ht="21.75" x14ac:dyDescent="0.3">
      <c r="B181" s="18" t="s">
        <v>87</v>
      </c>
      <c r="K181" s="16"/>
      <c r="L181" s="16"/>
      <c r="M181" s="16"/>
      <c r="N181" s="16"/>
    </row>
    <row r="182" spans="2:14" ht="21.75" x14ac:dyDescent="0.3">
      <c r="B182" s="18" t="s">
        <v>82</v>
      </c>
      <c r="K182" s="16"/>
      <c r="L182" s="16"/>
      <c r="M182" s="16"/>
      <c r="N182" s="16"/>
    </row>
    <row r="183" spans="2:14" ht="21" thickBot="1" x14ac:dyDescent="0.35">
      <c r="B183" s="22"/>
      <c r="K183" s="16"/>
      <c r="L183" s="16"/>
      <c r="M183" s="16"/>
      <c r="N183" s="16"/>
    </row>
    <row r="184" spans="2:14" ht="27" customHeight="1" thickBot="1" x14ac:dyDescent="0.35">
      <c r="B184" s="23" t="s">
        <v>2</v>
      </c>
      <c r="C184" s="24" t="s">
        <v>3</v>
      </c>
      <c r="D184" s="24" t="s">
        <v>4</v>
      </c>
      <c r="E184" s="24" t="s">
        <v>6</v>
      </c>
      <c r="F184" s="24" t="s">
        <v>166</v>
      </c>
      <c r="K184" s="16"/>
      <c r="L184" s="16"/>
      <c r="M184" s="16"/>
      <c r="N184" s="16"/>
    </row>
    <row r="185" spans="2:14" ht="27" customHeight="1" thickBot="1" x14ac:dyDescent="0.35">
      <c r="B185" s="23" t="s">
        <v>7</v>
      </c>
      <c r="C185" s="24" t="s">
        <v>8</v>
      </c>
      <c r="D185" s="24" t="s">
        <v>100</v>
      </c>
      <c r="E185" s="24" t="s">
        <v>101</v>
      </c>
      <c r="K185" s="16"/>
      <c r="L185" s="16"/>
      <c r="M185" s="16"/>
      <c r="N185" s="16"/>
    </row>
    <row r="186" spans="2:14" ht="20.25" x14ac:dyDescent="0.3">
      <c r="B186" s="27"/>
      <c r="K186" s="16"/>
      <c r="L186" s="16"/>
      <c r="M186" s="16"/>
      <c r="N186" s="16"/>
    </row>
    <row r="187" spans="2:14" ht="21.75" x14ac:dyDescent="0.3">
      <c r="B187" s="18" t="s">
        <v>88</v>
      </c>
      <c r="K187" s="16"/>
      <c r="L187" s="16"/>
      <c r="M187" s="16"/>
      <c r="N187" s="16"/>
    </row>
    <row r="188" spans="2:14" ht="30" customHeight="1" thickBot="1" x14ac:dyDescent="0.35">
      <c r="B188" s="22"/>
      <c r="K188" s="16"/>
      <c r="L188" s="16"/>
      <c r="M188" s="16"/>
      <c r="N188" s="16"/>
    </row>
    <row r="189" spans="2:14" ht="27" customHeight="1" thickBot="1" x14ac:dyDescent="0.35">
      <c r="B189" s="23" t="s">
        <v>32</v>
      </c>
      <c r="K189" s="16"/>
      <c r="L189" s="16"/>
      <c r="M189" s="16"/>
      <c r="N189" s="16"/>
    </row>
    <row r="190" spans="2:14" ht="20.25" x14ac:dyDescent="0.3">
      <c r="B190" s="27"/>
      <c r="K190" s="16"/>
      <c r="L190" s="16"/>
      <c r="M190" s="16"/>
      <c r="N190" s="16"/>
    </row>
    <row r="191" spans="2:14" ht="21.75" x14ac:dyDescent="0.3">
      <c r="B191" s="18" t="s">
        <v>121</v>
      </c>
      <c r="K191" s="16"/>
      <c r="L191" s="16"/>
      <c r="M191" s="16"/>
      <c r="N191" s="16"/>
    </row>
    <row r="192" spans="2:14" ht="30" customHeight="1" thickBot="1" x14ac:dyDescent="0.35">
      <c r="B192" s="25"/>
      <c r="K192" s="16"/>
      <c r="L192" s="16"/>
      <c r="M192" s="16"/>
      <c r="N192" s="16"/>
    </row>
    <row r="193" spans="2:14" ht="27" customHeight="1" thickBot="1" x14ac:dyDescent="0.35">
      <c r="B193" s="23" t="s">
        <v>68</v>
      </c>
      <c r="K193" s="16"/>
      <c r="L193" s="16"/>
      <c r="M193" s="16"/>
      <c r="N193" s="16"/>
    </row>
    <row r="194" spans="2:14" ht="20.25" x14ac:dyDescent="0.3">
      <c r="B194" s="27"/>
      <c r="K194" s="16"/>
      <c r="L194" s="16"/>
      <c r="M194" s="16"/>
      <c r="N194" s="16"/>
    </row>
    <row r="195" spans="2:14" ht="21.75" x14ac:dyDescent="0.3">
      <c r="B195" s="18" t="s">
        <v>89</v>
      </c>
      <c r="K195" s="16"/>
      <c r="L195" s="16"/>
      <c r="M195" s="16"/>
      <c r="N195" s="16"/>
    </row>
    <row r="196" spans="2:14" ht="21" x14ac:dyDescent="0.3">
      <c r="B196" s="17"/>
      <c r="C196" s="16"/>
      <c r="D196" s="16"/>
      <c r="E196" s="16"/>
      <c r="F196" s="16"/>
      <c r="G196" s="16"/>
      <c r="H196" s="16"/>
      <c r="I196" s="16"/>
      <c r="J196" s="16"/>
      <c r="K196" s="16"/>
      <c r="L196" s="16"/>
      <c r="M196" s="16"/>
      <c r="N196" s="16"/>
    </row>
    <row r="197" spans="2:14" ht="21" x14ac:dyDescent="0.3">
      <c r="B197" s="17"/>
      <c r="C197" s="16"/>
      <c r="D197" s="16"/>
      <c r="E197" s="16"/>
      <c r="F197" s="16"/>
      <c r="G197" s="16"/>
      <c r="H197" s="16"/>
      <c r="I197" s="16"/>
      <c r="J197" s="16"/>
      <c r="K197" s="16"/>
      <c r="L197" s="16"/>
      <c r="M197" s="16"/>
      <c r="N197" s="16"/>
    </row>
    <row r="198" spans="2:14" ht="21" x14ac:dyDescent="0.3">
      <c r="B198" s="15" t="s">
        <v>18</v>
      </c>
      <c r="C198" s="16"/>
      <c r="D198" s="16"/>
      <c r="E198" s="16"/>
      <c r="F198" s="16"/>
      <c r="G198" s="16"/>
      <c r="H198" s="16"/>
      <c r="I198" s="16"/>
      <c r="J198" s="16"/>
      <c r="K198" s="16"/>
      <c r="L198" s="16"/>
      <c r="M198" s="16"/>
      <c r="N198" s="16"/>
    </row>
    <row r="199" spans="2:14" ht="21" x14ac:dyDescent="0.3">
      <c r="B199" s="17" t="s">
        <v>161</v>
      </c>
      <c r="C199" s="16"/>
      <c r="D199" s="16"/>
      <c r="E199" s="16"/>
      <c r="F199" s="16"/>
      <c r="G199" s="16"/>
      <c r="H199" s="16"/>
      <c r="I199" s="16"/>
      <c r="J199" s="16"/>
      <c r="K199" s="16"/>
      <c r="L199" s="16"/>
      <c r="M199" s="16"/>
      <c r="N199" s="16"/>
    </row>
    <row r="200" spans="2:14" ht="21" x14ac:dyDescent="0.3">
      <c r="B200" s="17"/>
      <c r="C200" s="16"/>
      <c r="D200" s="16"/>
      <c r="E200" s="16"/>
      <c r="F200" s="16"/>
      <c r="G200" s="16"/>
      <c r="H200" s="16"/>
      <c r="I200" s="16"/>
      <c r="J200" s="16"/>
      <c r="K200" s="16"/>
      <c r="L200" s="16"/>
      <c r="M200" s="16"/>
      <c r="N200" s="16"/>
    </row>
    <row r="201" spans="2:14" ht="21" x14ac:dyDescent="0.3">
      <c r="B201" s="15" t="s">
        <v>1</v>
      </c>
      <c r="C201" s="16"/>
      <c r="D201" s="16"/>
      <c r="E201" s="16"/>
      <c r="F201" s="16"/>
      <c r="G201" s="16"/>
      <c r="H201" s="16"/>
      <c r="I201" s="16"/>
      <c r="J201" s="16"/>
      <c r="K201" s="16"/>
      <c r="L201" s="16"/>
      <c r="M201" s="16"/>
      <c r="N201" s="16"/>
    </row>
    <row r="202" spans="2:14" ht="21.75" x14ac:dyDescent="0.3">
      <c r="B202" s="18" t="s">
        <v>90</v>
      </c>
      <c r="K202" s="16"/>
      <c r="L202" s="16"/>
      <c r="M202" s="16"/>
      <c r="N202" s="16"/>
    </row>
    <row r="203" spans="2:14" ht="21.75" x14ac:dyDescent="0.3">
      <c r="B203" s="18" t="s">
        <v>102</v>
      </c>
      <c r="K203" s="16"/>
      <c r="L203" s="16"/>
      <c r="M203" s="16"/>
      <c r="N203" s="16"/>
    </row>
    <row r="204" spans="2:14" ht="21.75" x14ac:dyDescent="0.3">
      <c r="B204" s="18" t="s">
        <v>121</v>
      </c>
      <c r="K204" s="16"/>
      <c r="L204" s="16"/>
      <c r="M204" s="16"/>
      <c r="N204" s="16"/>
    </row>
    <row r="205" spans="2:14" ht="21" thickBot="1" x14ac:dyDescent="0.35">
      <c r="B205" s="25"/>
      <c r="K205" s="16"/>
      <c r="L205" s="16"/>
      <c r="M205" s="16"/>
      <c r="N205" s="16"/>
    </row>
    <row r="206" spans="2:14" ht="27" customHeight="1" thickBot="1" x14ac:dyDescent="0.35">
      <c r="B206" s="23" t="s">
        <v>92</v>
      </c>
      <c r="C206" s="23" t="s">
        <v>57</v>
      </c>
      <c r="D206" s="23" t="s">
        <v>93</v>
      </c>
      <c r="E206" s="16"/>
      <c r="F206" s="16"/>
      <c r="G206" s="16"/>
      <c r="H206" s="16"/>
      <c r="K206" s="16"/>
      <c r="L206" s="16"/>
      <c r="M206" s="16"/>
      <c r="N206" s="16"/>
    </row>
    <row r="207" spans="2:14" ht="21" x14ac:dyDescent="0.3">
      <c r="B207" s="17"/>
      <c r="C207" s="16"/>
      <c r="D207" s="16"/>
      <c r="E207" s="16"/>
      <c r="F207" s="16"/>
      <c r="G207" s="16"/>
      <c r="H207" s="16"/>
      <c r="I207" s="16"/>
      <c r="J207" s="16"/>
      <c r="K207" s="16"/>
      <c r="L207" s="16"/>
      <c r="M207" s="16"/>
      <c r="N207" s="16"/>
    </row>
    <row r="208" spans="2:14" ht="21" x14ac:dyDescent="0.3">
      <c r="B208" s="17"/>
      <c r="C208" s="16"/>
      <c r="D208" s="16"/>
      <c r="E208" s="16"/>
      <c r="F208" s="16"/>
      <c r="G208" s="16"/>
      <c r="H208" s="16"/>
      <c r="I208" s="16"/>
      <c r="J208" s="16"/>
      <c r="K208" s="16"/>
      <c r="L208" s="16"/>
      <c r="M208" s="16"/>
      <c r="N208" s="16"/>
    </row>
    <row r="209" spans="2:14" ht="21" x14ac:dyDescent="0.3">
      <c r="B209" s="15" t="s">
        <v>19</v>
      </c>
      <c r="C209" s="16"/>
      <c r="D209" s="16"/>
      <c r="E209" s="16"/>
      <c r="F209" s="16"/>
      <c r="G209" s="16"/>
      <c r="H209" s="16"/>
      <c r="I209" s="16"/>
      <c r="J209" s="16"/>
      <c r="K209" s="16"/>
      <c r="L209" s="16"/>
      <c r="M209" s="16"/>
      <c r="N209" s="16"/>
    </row>
    <row r="210" spans="2:14" ht="21" x14ac:dyDescent="0.3">
      <c r="B210" s="17" t="s">
        <v>42</v>
      </c>
      <c r="C210" s="16"/>
      <c r="D210" s="16"/>
      <c r="E210" s="16"/>
      <c r="F210" s="16"/>
      <c r="G210" s="16"/>
      <c r="H210" s="16"/>
      <c r="I210" s="16"/>
      <c r="J210" s="16"/>
      <c r="K210" s="16"/>
      <c r="L210" s="16"/>
      <c r="M210" s="16"/>
      <c r="N210" s="16"/>
    </row>
    <row r="211" spans="2:14" ht="21" x14ac:dyDescent="0.3">
      <c r="B211" s="17"/>
      <c r="C211" s="16"/>
      <c r="D211" s="16"/>
      <c r="E211" s="16"/>
      <c r="F211" s="16"/>
      <c r="G211" s="16"/>
      <c r="H211" s="16"/>
      <c r="I211" s="16"/>
      <c r="J211" s="16"/>
      <c r="K211" s="16"/>
      <c r="L211" s="16"/>
      <c r="M211" s="16"/>
      <c r="N211" s="16"/>
    </row>
    <row r="212" spans="2:14" ht="21" x14ac:dyDescent="0.3">
      <c r="B212" s="15" t="s">
        <v>1</v>
      </c>
      <c r="C212" s="16"/>
      <c r="D212" s="16"/>
      <c r="E212" s="16"/>
      <c r="F212" s="16"/>
      <c r="G212" s="16"/>
      <c r="H212" s="16"/>
      <c r="I212" s="16"/>
      <c r="J212" s="16"/>
      <c r="K212" s="16"/>
      <c r="L212" s="16"/>
      <c r="M212" s="16"/>
      <c r="N212" s="16"/>
    </row>
    <row r="213" spans="2:14" ht="21.75" x14ac:dyDescent="0.3">
      <c r="B213" s="18" t="s">
        <v>90</v>
      </c>
      <c r="C213" s="16"/>
      <c r="D213" s="16"/>
      <c r="E213" s="16"/>
      <c r="F213" s="16"/>
      <c r="G213" s="16"/>
      <c r="H213" s="16"/>
      <c r="I213" s="16"/>
      <c r="J213" s="16"/>
      <c r="K213" s="16"/>
      <c r="L213" s="16"/>
      <c r="M213" s="16"/>
      <c r="N213" s="16"/>
    </row>
    <row r="214" spans="2:14" ht="21.75" x14ac:dyDescent="0.3">
      <c r="B214" s="18" t="s">
        <v>105</v>
      </c>
      <c r="I214" s="16"/>
      <c r="J214" s="16"/>
      <c r="K214" s="16"/>
      <c r="L214" s="16"/>
      <c r="M214" s="16"/>
      <c r="N214" s="16"/>
    </row>
    <row r="215" spans="2:14" ht="21.75" x14ac:dyDescent="0.3">
      <c r="B215" s="18" t="s">
        <v>103</v>
      </c>
      <c r="I215" s="16"/>
      <c r="J215" s="16"/>
      <c r="K215" s="16"/>
      <c r="L215" s="16"/>
      <c r="M215" s="16"/>
      <c r="N215" s="16"/>
    </row>
    <row r="216" spans="2:14" ht="21.75" x14ac:dyDescent="0.3">
      <c r="B216" s="18" t="s">
        <v>104</v>
      </c>
      <c r="I216" s="16"/>
      <c r="J216" s="16"/>
      <c r="K216" s="16"/>
      <c r="L216" s="16"/>
      <c r="M216" s="16"/>
      <c r="N216" s="16"/>
    </row>
    <row r="217" spans="2:14" ht="21.75" x14ac:dyDescent="0.3">
      <c r="B217" s="18" t="s">
        <v>127</v>
      </c>
      <c r="C217" s="16"/>
      <c r="D217" s="16"/>
      <c r="E217" s="16"/>
      <c r="F217" s="16"/>
      <c r="G217" s="16"/>
      <c r="H217" s="16"/>
      <c r="I217" s="16"/>
      <c r="J217" s="16"/>
      <c r="K217" s="16"/>
      <c r="L217" s="16"/>
      <c r="M217" s="16"/>
      <c r="N217" s="16"/>
    </row>
    <row r="218" spans="2:14" ht="20.25" x14ac:dyDescent="0.3">
      <c r="B218" s="16"/>
      <c r="C218" s="16"/>
      <c r="D218" s="16"/>
      <c r="E218" s="16"/>
      <c r="F218" s="16"/>
      <c r="G218" s="16"/>
      <c r="H218" s="16"/>
      <c r="I218" s="16"/>
      <c r="J218" s="16"/>
      <c r="K218" s="16"/>
      <c r="L218" s="16"/>
      <c r="M218" s="16"/>
      <c r="N218" s="16"/>
    </row>
    <row r="219" spans="2:14" ht="21" x14ac:dyDescent="0.3">
      <c r="B219" s="17"/>
      <c r="C219" s="16"/>
      <c r="D219" s="16"/>
      <c r="E219" s="16"/>
      <c r="F219" s="16"/>
      <c r="G219" s="16"/>
      <c r="H219" s="16"/>
      <c r="I219" s="16"/>
      <c r="J219" s="16"/>
      <c r="K219" s="16"/>
      <c r="L219" s="16"/>
      <c r="M219" s="16"/>
      <c r="N219" s="16"/>
    </row>
    <row r="220" spans="2:14" ht="21" x14ac:dyDescent="0.3">
      <c r="B220" s="15" t="s">
        <v>20</v>
      </c>
      <c r="C220" s="16"/>
      <c r="D220" s="16"/>
      <c r="E220" s="16"/>
      <c r="F220" s="16"/>
      <c r="G220" s="16"/>
      <c r="H220" s="16"/>
      <c r="I220" s="16"/>
      <c r="J220" s="16"/>
      <c r="K220" s="16"/>
      <c r="L220" s="16"/>
      <c r="M220" s="16"/>
      <c r="N220" s="16"/>
    </row>
    <row r="221" spans="2:14" ht="21" x14ac:dyDescent="0.3">
      <c r="B221" s="17" t="s">
        <v>43</v>
      </c>
      <c r="C221" s="16"/>
      <c r="D221" s="16"/>
      <c r="E221" s="16"/>
      <c r="F221" s="16"/>
      <c r="G221" s="16"/>
      <c r="H221" s="16"/>
      <c r="I221" s="16"/>
      <c r="J221" s="16"/>
      <c r="K221" s="16"/>
      <c r="L221" s="16"/>
      <c r="M221" s="16"/>
      <c r="N221" s="16"/>
    </row>
    <row r="222" spans="2:14" ht="21" x14ac:dyDescent="0.3">
      <c r="B222" s="17"/>
      <c r="C222" s="16"/>
      <c r="D222" s="16"/>
      <c r="E222" s="16"/>
      <c r="F222" s="16"/>
      <c r="G222" s="16"/>
      <c r="H222" s="16"/>
      <c r="I222" s="16"/>
      <c r="J222" s="16"/>
      <c r="K222" s="16"/>
      <c r="L222" s="16"/>
      <c r="M222" s="16"/>
      <c r="N222" s="16"/>
    </row>
    <row r="223" spans="2:14" ht="21" x14ac:dyDescent="0.3">
      <c r="B223" s="15" t="s">
        <v>1</v>
      </c>
      <c r="C223" s="16"/>
      <c r="D223" s="16"/>
      <c r="E223" s="16"/>
      <c r="F223" s="16"/>
      <c r="G223" s="16"/>
      <c r="H223" s="16"/>
      <c r="I223" s="16"/>
      <c r="J223" s="16"/>
      <c r="K223" s="16"/>
      <c r="L223" s="16"/>
      <c r="M223" s="16"/>
      <c r="N223" s="16"/>
    </row>
    <row r="224" spans="2:14" ht="21.75" x14ac:dyDescent="0.3">
      <c r="B224" s="18" t="s">
        <v>90</v>
      </c>
      <c r="C224" s="16"/>
      <c r="D224" s="16"/>
      <c r="E224" s="16"/>
      <c r="F224" s="16"/>
      <c r="G224" s="16"/>
      <c r="H224" s="16"/>
      <c r="I224" s="16"/>
      <c r="J224" s="16"/>
      <c r="K224" s="16"/>
      <c r="L224" s="16"/>
      <c r="M224" s="16"/>
      <c r="N224" s="16"/>
    </row>
    <row r="225" spans="2:14" ht="21.75" x14ac:dyDescent="0.3">
      <c r="B225" s="18" t="s">
        <v>105</v>
      </c>
      <c r="C225" s="16"/>
      <c r="D225" s="16"/>
      <c r="E225" s="16"/>
      <c r="F225" s="16"/>
      <c r="G225" s="16"/>
      <c r="H225" s="16"/>
      <c r="I225" s="16"/>
      <c r="J225" s="16"/>
      <c r="K225" s="16"/>
      <c r="L225" s="16"/>
      <c r="M225" s="16"/>
      <c r="N225" s="16"/>
    </row>
    <row r="226" spans="2:14" ht="21.75" x14ac:dyDescent="0.3">
      <c r="B226" s="18" t="s">
        <v>103</v>
      </c>
      <c r="C226" s="16"/>
      <c r="D226" s="16"/>
      <c r="E226" s="16"/>
      <c r="F226" s="16"/>
      <c r="G226" s="16"/>
      <c r="H226" s="16"/>
      <c r="I226" s="16"/>
      <c r="J226" s="16"/>
      <c r="K226" s="16"/>
      <c r="L226" s="16"/>
      <c r="M226" s="16"/>
      <c r="N226" s="16"/>
    </row>
    <row r="227" spans="2:14" ht="21.75" x14ac:dyDescent="0.3">
      <c r="B227" s="18" t="s">
        <v>104</v>
      </c>
      <c r="C227" s="16"/>
      <c r="D227" s="16"/>
      <c r="E227" s="16"/>
      <c r="F227" s="16"/>
      <c r="G227" s="16"/>
      <c r="H227" s="16"/>
      <c r="I227" s="16"/>
      <c r="J227" s="16"/>
      <c r="K227" s="16"/>
      <c r="L227" s="16"/>
      <c r="M227" s="16"/>
      <c r="N227" s="16"/>
    </row>
    <row r="228" spans="2:14" ht="21.75" x14ac:dyDescent="0.3">
      <c r="B228" s="18" t="s">
        <v>127</v>
      </c>
      <c r="C228" s="16"/>
      <c r="D228" s="16"/>
      <c r="E228" s="16"/>
      <c r="F228" s="16"/>
      <c r="G228" s="16"/>
      <c r="H228" s="16"/>
      <c r="I228" s="16"/>
      <c r="J228" s="16"/>
      <c r="K228" s="16"/>
      <c r="L228" s="16"/>
      <c r="M228" s="16"/>
      <c r="N228" s="16"/>
    </row>
    <row r="229" spans="2:14" ht="21" x14ac:dyDescent="0.3">
      <c r="B229" s="17"/>
      <c r="C229" s="16"/>
      <c r="D229" s="16"/>
      <c r="E229" s="16"/>
      <c r="F229" s="16"/>
      <c r="G229" s="16"/>
      <c r="H229" s="16"/>
      <c r="I229" s="16"/>
      <c r="J229" s="16"/>
      <c r="K229" s="16"/>
      <c r="L229" s="16"/>
      <c r="M229" s="16"/>
      <c r="N229" s="16"/>
    </row>
    <row r="230" spans="2:14" ht="21" x14ac:dyDescent="0.3">
      <c r="B230" s="17"/>
      <c r="C230" s="16"/>
      <c r="D230" s="16"/>
      <c r="E230" s="16"/>
      <c r="F230" s="16"/>
      <c r="G230" s="16"/>
      <c r="H230" s="16"/>
      <c r="I230" s="16"/>
      <c r="J230" s="16"/>
      <c r="K230" s="16"/>
      <c r="L230" s="16"/>
      <c r="M230" s="16"/>
      <c r="N230" s="16"/>
    </row>
    <row r="231" spans="2:14" ht="21" x14ac:dyDescent="0.3">
      <c r="B231" s="15" t="s">
        <v>21</v>
      </c>
      <c r="C231" s="16"/>
      <c r="D231" s="16"/>
      <c r="E231" s="16"/>
      <c r="F231" s="16"/>
      <c r="G231" s="16"/>
      <c r="H231" s="16"/>
      <c r="I231" s="16"/>
      <c r="J231" s="16"/>
      <c r="K231" s="16"/>
      <c r="L231" s="16"/>
      <c r="M231" s="16"/>
      <c r="N231" s="16"/>
    </row>
    <row r="232" spans="2:14" ht="21" x14ac:dyDescent="0.3">
      <c r="B232" s="17" t="s">
        <v>44</v>
      </c>
      <c r="C232" s="16"/>
      <c r="D232" s="16"/>
      <c r="E232" s="16"/>
      <c r="F232" s="16"/>
      <c r="G232" s="16"/>
      <c r="H232" s="16"/>
      <c r="I232" s="16"/>
      <c r="J232" s="16"/>
      <c r="K232" s="16"/>
      <c r="L232" s="16"/>
      <c r="M232" s="16"/>
      <c r="N232" s="16"/>
    </row>
    <row r="233" spans="2:14" ht="21" x14ac:dyDescent="0.3">
      <c r="B233" s="17"/>
      <c r="C233" s="16"/>
      <c r="D233" s="16"/>
      <c r="E233" s="16"/>
      <c r="F233" s="16"/>
      <c r="G233" s="16"/>
      <c r="H233" s="16"/>
      <c r="I233" s="16"/>
      <c r="J233" s="16"/>
      <c r="K233" s="16"/>
      <c r="L233" s="16"/>
      <c r="M233" s="16"/>
      <c r="N233" s="16"/>
    </row>
    <row r="234" spans="2:14" ht="21" x14ac:dyDescent="0.3">
      <c r="B234" s="15" t="s">
        <v>1</v>
      </c>
      <c r="C234" s="16"/>
      <c r="D234" s="16"/>
      <c r="E234" s="16"/>
      <c r="F234" s="16"/>
      <c r="G234" s="16"/>
      <c r="H234" s="16"/>
      <c r="I234" s="16"/>
      <c r="J234" s="16"/>
      <c r="K234" s="16"/>
      <c r="L234" s="16"/>
      <c r="M234" s="16"/>
      <c r="N234" s="16"/>
    </row>
    <row r="235" spans="2:14" ht="21.75" x14ac:dyDescent="0.3">
      <c r="B235" s="18" t="s">
        <v>90</v>
      </c>
      <c r="C235" s="16"/>
      <c r="D235" s="16"/>
      <c r="E235" s="16"/>
      <c r="F235" s="16"/>
      <c r="G235" s="16"/>
      <c r="H235" s="16"/>
      <c r="I235" s="16"/>
      <c r="J235" s="16"/>
      <c r="K235" s="16"/>
      <c r="L235" s="16"/>
      <c r="M235" s="16"/>
      <c r="N235" s="16"/>
    </row>
    <row r="236" spans="2:14" ht="21.75" x14ac:dyDescent="0.3">
      <c r="B236" s="18" t="s">
        <v>105</v>
      </c>
      <c r="C236" s="16"/>
      <c r="D236" s="16"/>
      <c r="E236" s="16"/>
      <c r="F236" s="16"/>
      <c r="G236" s="16"/>
      <c r="H236" s="16"/>
      <c r="I236" s="16"/>
      <c r="J236" s="16"/>
      <c r="K236" s="16"/>
      <c r="L236" s="16"/>
      <c r="M236" s="16"/>
      <c r="N236" s="16"/>
    </row>
    <row r="237" spans="2:14" ht="21.75" x14ac:dyDescent="0.3">
      <c r="B237" s="18" t="s">
        <v>103</v>
      </c>
      <c r="C237" s="16"/>
      <c r="D237" s="16"/>
      <c r="E237" s="16"/>
      <c r="F237" s="16"/>
      <c r="G237" s="16"/>
      <c r="H237" s="16"/>
      <c r="I237" s="16"/>
      <c r="J237" s="16"/>
      <c r="K237" s="16"/>
      <c r="L237" s="16"/>
      <c r="M237" s="16"/>
      <c r="N237" s="16"/>
    </row>
    <row r="238" spans="2:14" ht="21.75" x14ac:dyDescent="0.3">
      <c r="B238" s="18" t="s">
        <v>104</v>
      </c>
      <c r="C238" s="16"/>
      <c r="D238" s="16"/>
      <c r="E238" s="16"/>
      <c r="F238" s="16"/>
      <c r="G238" s="16"/>
      <c r="H238" s="16"/>
      <c r="I238" s="16"/>
      <c r="J238" s="16"/>
      <c r="K238" s="16"/>
      <c r="L238" s="16"/>
      <c r="M238" s="16"/>
      <c r="N238" s="16"/>
    </row>
    <row r="239" spans="2:14" ht="21.75" x14ac:dyDescent="0.3">
      <c r="B239" s="18" t="s">
        <v>127</v>
      </c>
      <c r="C239" s="16"/>
      <c r="D239" s="16"/>
      <c r="E239" s="16"/>
      <c r="F239" s="16"/>
      <c r="G239" s="16"/>
      <c r="H239" s="16"/>
      <c r="I239" s="16"/>
      <c r="J239" s="16"/>
      <c r="K239" s="16"/>
      <c r="L239" s="16"/>
      <c r="M239" s="16"/>
      <c r="N239" s="16"/>
    </row>
    <row r="240" spans="2:14" ht="21" x14ac:dyDescent="0.3">
      <c r="B240" s="17"/>
      <c r="C240" s="16"/>
      <c r="D240" s="16"/>
      <c r="E240" s="16"/>
      <c r="F240" s="16"/>
      <c r="G240" s="16"/>
      <c r="H240" s="16"/>
      <c r="I240" s="16"/>
      <c r="J240" s="16"/>
      <c r="K240" s="16"/>
      <c r="L240" s="16"/>
      <c r="M240" s="16"/>
      <c r="N240" s="16"/>
    </row>
    <row r="241" spans="2:14" ht="21" x14ac:dyDescent="0.3">
      <c r="B241" s="17"/>
      <c r="C241" s="16"/>
      <c r="D241" s="16"/>
      <c r="E241" s="16"/>
      <c r="F241" s="16"/>
      <c r="G241" s="16"/>
      <c r="H241" s="16"/>
      <c r="I241" s="16"/>
      <c r="J241" s="16"/>
      <c r="K241" s="16"/>
      <c r="L241" s="16"/>
      <c r="M241" s="16"/>
      <c r="N241" s="16"/>
    </row>
    <row r="242" spans="2:14" ht="21" x14ac:dyDescent="0.3">
      <c r="B242" s="15" t="s">
        <v>45</v>
      </c>
      <c r="C242" s="16"/>
      <c r="D242" s="16"/>
      <c r="E242" s="16"/>
      <c r="F242" s="16"/>
      <c r="G242" s="16"/>
      <c r="H242" s="16"/>
      <c r="I242" s="16"/>
      <c r="J242" s="16"/>
      <c r="K242" s="16"/>
      <c r="L242" s="16"/>
      <c r="M242" s="16"/>
      <c r="N242" s="16"/>
    </row>
    <row r="243" spans="2:14" ht="21" x14ac:dyDescent="0.3">
      <c r="B243" s="17" t="s">
        <v>67</v>
      </c>
      <c r="C243" s="16"/>
      <c r="D243" s="16"/>
      <c r="E243" s="16"/>
      <c r="F243" s="16"/>
      <c r="G243" s="16"/>
      <c r="H243" s="16"/>
      <c r="I243" s="16"/>
      <c r="J243" s="16"/>
      <c r="K243" s="16"/>
      <c r="L243" s="16"/>
      <c r="M243" s="16"/>
      <c r="N243" s="16"/>
    </row>
    <row r="244" spans="2:14" ht="21" x14ac:dyDescent="0.3">
      <c r="B244" s="17"/>
      <c r="C244" s="16"/>
      <c r="D244" s="16"/>
      <c r="E244" s="16"/>
      <c r="F244" s="16"/>
      <c r="G244" s="16"/>
      <c r="H244" s="16"/>
      <c r="I244" s="16"/>
      <c r="J244" s="16"/>
      <c r="K244" s="16"/>
      <c r="L244" s="16"/>
      <c r="M244" s="16"/>
      <c r="N244" s="16"/>
    </row>
    <row r="245" spans="2:14" ht="21" x14ac:dyDescent="0.3">
      <c r="B245" s="15" t="s">
        <v>1</v>
      </c>
      <c r="C245" s="16"/>
      <c r="D245" s="16"/>
      <c r="E245" s="16"/>
      <c r="F245" s="16"/>
      <c r="G245" s="16"/>
      <c r="H245" s="16"/>
      <c r="I245" s="16"/>
      <c r="J245" s="16"/>
      <c r="K245" s="16"/>
      <c r="L245" s="16"/>
      <c r="M245" s="16"/>
      <c r="N245" s="16"/>
    </row>
    <row r="246" spans="2:14" ht="21.75" x14ac:dyDescent="0.3">
      <c r="B246" s="18" t="s">
        <v>90</v>
      </c>
      <c r="C246" s="16"/>
      <c r="D246" s="16"/>
      <c r="E246" s="16"/>
      <c r="F246" s="16"/>
      <c r="G246" s="16"/>
      <c r="H246" s="16"/>
      <c r="I246" s="16"/>
      <c r="J246" s="16"/>
      <c r="K246" s="16"/>
      <c r="L246" s="16"/>
      <c r="M246" s="16"/>
      <c r="N246" s="16"/>
    </row>
    <row r="247" spans="2:14" ht="21.75" x14ac:dyDescent="0.3">
      <c r="B247" s="18" t="s">
        <v>105</v>
      </c>
      <c r="C247" s="16"/>
      <c r="D247" s="16"/>
      <c r="E247" s="16"/>
      <c r="F247" s="16"/>
      <c r="G247" s="16"/>
      <c r="H247" s="16"/>
      <c r="I247" s="16"/>
      <c r="J247" s="16"/>
      <c r="K247" s="16"/>
      <c r="L247" s="16"/>
      <c r="M247" s="16"/>
      <c r="N247" s="16"/>
    </row>
    <row r="248" spans="2:14" ht="21.75" x14ac:dyDescent="0.3">
      <c r="B248" s="18" t="s">
        <v>103</v>
      </c>
      <c r="C248" s="16"/>
      <c r="D248" s="16"/>
      <c r="E248" s="16"/>
      <c r="F248" s="16"/>
      <c r="G248" s="16"/>
      <c r="H248" s="16"/>
      <c r="I248" s="16"/>
      <c r="J248" s="16"/>
      <c r="K248" s="16"/>
      <c r="L248" s="16"/>
      <c r="M248" s="16"/>
      <c r="N248" s="16"/>
    </row>
    <row r="249" spans="2:14" ht="21.75" x14ac:dyDescent="0.3">
      <c r="B249" s="18" t="s">
        <v>104</v>
      </c>
      <c r="C249" s="16"/>
      <c r="D249" s="16"/>
      <c r="E249" s="16"/>
      <c r="F249" s="16"/>
      <c r="G249" s="16"/>
      <c r="H249" s="16"/>
      <c r="I249" s="16"/>
      <c r="J249" s="16"/>
      <c r="K249" s="16"/>
      <c r="L249" s="16"/>
      <c r="M249" s="16"/>
      <c r="N249" s="16"/>
    </row>
    <row r="250" spans="2:14" ht="21.75" x14ac:dyDescent="0.3">
      <c r="B250" s="18" t="s">
        <v>127</v>
      </c>
      <c r="C250" s="16"/>
      <c r="D250" s="16"/>
      <c r="E250" s="16"/>
      <c r="F250" s="16"/>
      <c r="G250" s="16"/>
      <c r="H250" s="16"/>
      <c r="I250" s="16"/>
      <c r="J250" s="16"/>
      <c r="K250" s="16"/>
      <c r="L250" s="16"/>
      <c r="M250" s="16"/>
      <c r="N250" s="16"/>
    </row>
    <row r="251" spans="2:14" ht="21" x14ac:dyDescent="0.3">
      <c r="B251" s="17"/>
      <c r="C251" s="16"/>
      <c r="D251" s="16"/>
      <c r="E251" s="16"/>
      <c r="F251" s="16"/>
      <c r="G251" s="16"/>
      <c r="H251" s="16"/>
      <c r="I251" s="16"/>
      <c r="J251" s="16"/>
      <c r="K251" s="16"/>
      <c r="L251" s="16"/>
      <c r="M251" s="16"/>
      <c r="N251" s="16"/>
    </row>
    <row r="252" spans="2:14" ht="21" x14ac:dyDescent="0.3">
      <c r="B252" s="17"/>
      <c r="C252" s="16"/>
      <c r="D252" s="16"/>
      <c r="E252" s="16"/>
      <c r="F252" s="16"/>
      <c r="G252" s="16"/>
      <c r="H252" s="16"/>
      <c r="I252" s="16"/>
      <c r="J252" s="16"/>
      <c r="K252" s="16"/>
      <c r="L252" s="16"/>
      <c r="M252" s="16"/>
      <c r="N252" s="16"/>
    </row>
    <row r="253" spans="2:14" ht="21" x14ac:dyDescent="0.3">
      <c r="B253" s="15" t="s">
        <v>47</v>
      </c>
      <c r="C253" s="16"/>
      <c r="D253" s="16"/>
      <c r="E253" s="16"/>
      <c r="F253" s="16"/>
      <c r="G253" s="16"/>
      <c r="H253" s="16"/>
      <c r="I253" s="16"/>
      <c r="J253" s="16"/>
      <c r="K253" s="16"/>
      <c r="L253" s="16"/>
      <c r="M253" s="16"/>
      <c r="N253" s="16"/>
    </row>
    <row r="254" spans="2:14" ht="21" x14ac:dyDescent="0.3">
      <c r="B254" s="17" t="s">
        <v>46</v>
      </c>
      <c r="C254" s="16"/>
      <c r="D254" s="16"/>
      <c r="E254" s="16"/>
      <c r="F254" s="16"/>
      <c r="G254" s="16"/>
      <c r="H254" s="16"/>
      <c r="I254" s="16"/>
      <c r="J254" s="16"/>
      <c r="K254" s="16"/>
      <c r="L254" s="16"/>
      <c r="M254" s="16"/>
      <c r="N254" s="16"/>
    </row>
    <row r="255" spans="2:14" ht="21" x14ac:dyDescent="0.3">
      <c r="B255" s="17"/>
      <c r="C255" s="16"/>
      <c r="D255" s="16"/>
      <c r="E255" s="16"/>
      <c r="F255" s="16"/>
      <c r="G255" s="16"/>
      <c r="H255" s="16"/>
      <c r="I255" s="16"/>
      <c r="J255" s="16"/>
      <c r="K255" s="16"/>
      <c r="L255" s="16"/>
      <c r="M255" s="16"/>
      <c r="N255" s="16"/>
    </row>
    <row r="256" spans="2:14" ht="21" x14ac:dyDescent="0.3">
      <c r="B256" s="15" t="s">
        <v>1</v>
      </c>
      <c r="C256" s="16"/>
      <c r="D256" s="16"/>
      <c r="E256" s="16"/>
      <c r="F256" s="16"/>
      <c r="G256" s="16"/>
      <c r="H256" s="16"/>
      <c r="I256" s="16"/>
      <c r="J256" s="16"/>
      <c r="K256" s="16"/>
      <c r="L256" s="16"/>
      <c r="M256" s="16"/>
      <c r="N256" s="16"/>
    </row>
    <row r="257" spans="2:14" ht="21.75" x14ac:dyDescent="0.3">
      <c r="B257" s="18" t="s">
        <v>90</v>
      </c>
      <c r="C257" s="16"/>
      <c r="D257" s="16"/>
      <c r="E257" s="16"/>
      <c r="F257" s="16"/>
      <c r="G257" s="16"/>
      <c r="H257" s="16"/>
      <c r="I257" s="16"/>
      <c r="J257" s="16"/>
      <c r="K257" s="16"/>
      <c r="L257" s="16"/>
      <c r="M257" s="16"/>
      <c r="N257" s="16"/>
    </row>
    <row r="258" spans="2:14" ht="21.75" x14ac:dyDescent="0.3">
      <c r="B258" s="18" t="s">
        <v>105</v>
      </c>
      <c r="C258" s="16"/>
      <c r="D258" s="16"/>
      <c r="E258" s="16"/>
      <c r="F258" s="16"/>
      <c r="G258" s="16"/>
      <c r="H258" s="16"/>
      <c r="I258" s="16"/>
      <c r="J258" s="16"/>
      <c r="K258" s="16"/>
      <c r="L258" s="16"/>
      <c r="M258" s="16"/>
      <c r="N258" s="16"/>
    </row>
    <row r="259" spans="2:14" ht="21.75" x14ac:dyDescent="0.3">
      <c r="B259" s="18" t="s">
        <v>103</v>
      </c>
      <c r="C259" s="16"/>
      <c r="D259" s="16"/>
      <c r="E259" s="16"/>
      <c r="F259" s="16"/>
      <c r="G259" s="16"/>
      <c r="H259" s="16"/>
      <c r="I259" s="16"/>
      <c r="J259" s="16"/>
      <c r="K259" s="16"/>
      <c r="L259" s="16"/>
      <c r="M259" s="16"/>
      <c r="N259" s="16"/>
    </row>
    <row r="260" spans="2:14" ht="21.75" x14ac:dyDescent="0.3">
      <c r="B260" s="18" t="s">
        <v>104</v>
      </c>
      <c r="C260" s="16"/>
      <c r="D260" s="16"/>
      <c r="E260" s="16"/>
      <c r="F260" s="16"/>
      <c r="G260" s="16"/>
      <c r="H260" s="16"/>
      <c r="I260" s="16"/>
      <c r="J260" s="16"/>
      <c r="K260" s="16"/>
      <c r="L260" s="16"/>
      <c r="M260" s="16"/>
      <c r="N260" s="16"/>
    </row>
    <row r="261" spans="2:14" ht="21.75" x14ac:dyDescent="0.3">
      <c r="B261" s="18" t="s">
        <v>127</v>
      </c>
      <c r="C261" s="16"/>
      <c r="D261" s="16"/>
      <c r="E261" s="16"/>
      <c r="F261" s="16"/>
      <c r="G261" s="16"/>
      <c r="H261" s="16"/>
      <c r="I261" s="16"/>
      <c r="J261" s="16"/>
      <c r="K261" s="16"/>
      <c r="L261" s="16"/>
      <c r="M261" s="16"/>
      <c r="N261" s="16"/>
    </row>
    <row r="262" spans="2:14" ht="21" x14ac:dyDescent="0.3">
      <c r="B262" s="17"/>
      <c r="C262" s="16"/>
      <c r="D262" s="16"/>
      <c r="E262" s="16"/>
      <c r="F262" s="16"/>
      <c r="G262" s="16"/>
      <c r="H262" s="16"/>
      <c r="I262" s="16"/>
      <c r="J262" s="16"/>
      <c r="K262" s="16"/>
      <c r="L262" s="16"/>
      <c r="M262" s="16"/>
      <c r="N262" s="16"/>
    </row>
    <row r="263" spans="2:14" ht="21" x14ac:dyDescent="0.3">
      <c r="B263" s="17"/>
      <c r="C263" s="16"/>
      <c r="D263" s="16"/>
      <c r="E263" s="16"/>
      <c r="F263" s="16"/>
      <c r="G263" s="16"/>
      <c r="H263" s="16"/>
      <c r="I263" s="16"/>
      <c r="J263" s="16"/>
      <c r="K263" s="16"/>
      <c r="L263" s="16"/>
      <c r="M263" s="16"/>
      <c r="N263" s="16"/>
    </row>
    <row r="264" spans="2:14" ht="21" x14ac:dyDescent="0.3">
      <c r="B264" s="15" t="s">
        <v>22</v>
      </c>
      <c r="C264" s="16"/>
      <c r="D264" s="16"/>
      <c r="E264" s="16"/>
      <c r="F264" s="16"/>
      <c r="G264" s="16"/>
      <c r="H264" s="16"/>
      <c r="I264" s="16"/>
      <c r="J264" s="16"/>
      <c r="K264" s="16"/>
      <c r="L264" s="16"/>
      <c r="M264" s="16"/>
      <c r="N264" s="16"/>
    </row>
    <row r="265" spans="2:14" ht="21" x14ac:dyDescent="0.3">
      <c r="B265" s="17" t="s">
        <v>48</v>
      </c>
      <c r="C265" s="16"/>
      <c r="D265" s="16"/>
      <c r="E265" s="16"/>
      <c r="F265" s="16"/>
      <c r="G265" s="16"/>
      <c r="H265" s="16"/>
      <c r="I265" s="16"/>
      <c r="J265" s="16"/>
      <c r="K265" s="16"/>
      <c r="L265" s="16"/>
      <c r="M265" s="16"/>
      <c r="N265" s="16"/>
    </row>
    <row r="266" spans="2:14" ht="21" x14ac:dyDescent="0.3">
      <c r="B266" s="17"/>
      <c r="C266" s="16"/>
      <c r="D266" s="16"/>
      <c r="E266" s="16"/>
      <c r="F266" s="16"/>
      <c r="G266" s="16"/>
      <c r="H266" s="16"/>
      <c r="I266" s="16"/>
      <c r="J266" s="16"/>
      <c r="K266" s="16"/>
      <c r="L266" s="16"/>
      <c r="M266" s="16"/>
      <c r="N266" s="16"/>
    </row>
    <row r="267" spans="2:14" ht="21" x14ac:dyDescent="0.3">
      <c r="B267" s="15" t="s">
        <v>1</v>
      </c>
      <c r="C267" s="16"/>
      <c r="D267" s="16"/>
      <c r="E267" s="16"/>
      <c r="F267" s="16"/>
      <c r="G267" s="16"/>
      <c r="H267" s="16"/>
      <c r="I267" s="16"/>
      <c r="J267" s="16"/>
      <c r="K267" s="16"/>
      <c r="L267" s="16"/>
      <c r="M267" s="16"/>
      <c r="N267" s="16"/>
    </row>
    <row r="268" spans="2:14" ht="21.75" x14ac:dyDescent="0.3">
      <c r="B268" s="18" t="s">
        <v>91</v>
      </c>
      <c r="G268" s="16"/>
      <c r="H268" s="16"/>
      <c r="I268" s="16"/>
      <c r="J268" s="16"/>
      <c r="K268" s="16"/>
      <c r="L268" s="16"/>
      <c r="M268" s="16"/>
      <c r="N268" s="16"/>
    </row>
    <row r="269" spans="2:14" ht="21.75" x14ac:dyDescent="0.3">
      <c r="B269" s="18" t="s">
        <v>163</v>
      </c>
      <c r="G269" s="16"/>
      <c r="H269" s="16"/>
      <c r="I269" s="16"/>
      <c r="J269" s="16"/>
      <c r="K269" s="16"/>
      <c r="L269" s="16"/>
      <c r="M269" s="16"/>
      <c r="N269" s="16"/>
    </row>
    <row r="270" spans="2:14" ht="21.75" x14ac:dyDescent="0.3">
      <c r="B270" s="18" t="s">
        <v>164</v>
      </c>
      <c r="G270" s="16"/>
      <c r="H270" s="16"/>
      <c r="I270" s="16"/>
      <c r="J270" s="16"/>
      <c r="K270" s="16"/>
      <c r="L270" s="16"/>
      <c r="M270" s="16"/>
      <c r="N270" s="16"/>
    </row>
    <row r="271" spans="2:14" ht="21.75" x14ac:dyDescent="0.3">
      <c r="B271" s="18" t="s">
        <v>165</v>
      </c>
      <c r="G271" s="16"/>
      <c r="H271" s="16"/>
      <c r="I271" s="16"/>
      <c r="J271" s="16"/>
      <c r="K271" s="16"/>
      <c r="L271" s="16"/>
      <c r="M271" s="16"/>
      <c r="N271" s="16"/>
    </row>
    <row r="272" spans="2:14" ht="21.75" x14ac:dyDescent="0.3">
      <c r="B272" s="18" t="s">
        <v>126</v>
      </c>
      <c r="C272" s="16"/>
      <c r="D272" s="16"/>
      <c r="E272" s="16"/>
      <c r="F272" s="16"/>
      <c r="G272" s="16"/>
      <c r="H272" s="16"/>
      <c r="I272" s="16"/>
      <c r="J272" s="16"/>
      <c r="K272" s="16"/>
      <c r="L272" s="16"/>
      <c r="M272" s="16"/>
      <c r="N272" s="16"/>
    </row>
    <row r="273" spans="2:14" ht="21" x14ac:dyDescent="0.3">
      <c r="B273" s="20"/>
      <c r="C273" s="16"/>
      <c r="D273" s="16"/>
      <c r="E273" s="16"/>
      <c r="F273" s="16"/>
      <c r="G273" s="16"/>
      <c r="H273" s="16"/>
      <c r="I273" s="16"/>
      <c r="J273" s="16"/>
      <c r="K273" s="16"/>
      <c r="L273" s="16"/>
      <c r="M273" s="16"/>
      <c r="N273" s="16"/>
    </row>
    <row r="274" spans="2:14" ht="21" x14ac:dyDescent="0.3">
      <c r="B274" s="20"/>
      <c r="C274" s="16"/>
      <c r="D274" s="16"/>
      <c r="E274" s="16"/>
      <c r="F274" s="16"/>
      <c r="G274" s="16"/>
      <c r="H274" s="16"/>
      <c r="I274" s="16"/>
      <c r="J274" s="16"/>
      <c r="K274" s="16"/>
      <c r="L274" s="16"/>
      <c r="M274" s="16"/>
      <c r="N274" s="16"/>
    </row>
    <row r="275" spans="2:14" ht="21" x14ac:dyDescent="0.3">
      <c r="B275" s="15" t="s">
        <v>23</v>
      </c>
      <c r="C275" s="16"/>
      <c r="D275" s="16"/>
      <c r="E275" s="16"/>
      <c r="F275" s="16"/>
      <c r="G275" s="16"/>
      <c r="H275" s="16"/>
      <c r="I275" s="16"/>
      <c r="J275" s="16"/>
      <c r="K275" s="16"/>
      <c r="L275" s="16"/>
      <c r="M275" s="16"/>
      <c r="N275" s="16"/>
    </row>
    <row r="276" spans="2:14" ht="21" x14ac:dyDescent="0.3">
      <c r="B276" s="17" t="s">
        <v>52</v>
      </c>
      <c r="C276" s="16"/>
      <c r="D276" s="16"/>
      <c r="E276" s="16"/>
      <c r="F276" s="16"/>
      <c r="G276" s="16"/>
      <c r="H276" s="16"/>
      <c r="I276" s="16"/>
      <c r="J276" s="16"/>
      <c r="K276" s="16"/>
      <c r="L276" s="16"/>
      <c r="M276" s="16"/>
      <c r="N276" s="16"/>
    </row>
    <row r="277" spans="2:14" ht="21" x14ac:dyDescent="0.3">
      <c r="B277" s="17"/>
      <c r="C277" s="16"/>
      <c r="D277" s="16"/>
      <c r="E277" s="16"/>
      <c r="F277" s="16"/>
      <c r="G277" s="16"/>
      <c r="H277" s="16"/>
      <c r="I277" s="16"/>
      <c r="J277" s="16"/>
      <c r="K277" s="16"/>
      <c r="L277" s="16"/>
      <c r="M277" s="16"/>
      <c r="N277" s="16"/>
    </row>
    <row r="278" spans="2:14" ht="21" x14ac:dyDescent="0.3">
      <c r="B278" s="15" t="s">
        <v>1</v>
      </c>
      <c r="C278" s="16"/>
      <c r="D278" s="16"/>
      <c r="E278" s="16"/>
      <c r="F278" s="16"/>
      <c r="G278" s="16"/>
      <c r="H278" s="16"/>
      <c r="I278" s="16"/>
      <c r="J278" s="16"/>
      <c r="K278" s="16"/>
      <c r="L278" s="16"/>
      <c r="M278" s="16"/>
      <c r="N278" s="16"/>
    </row>
    <row r="279" spans="2:14" ht="21.75" x14ac:dyDescent="0.3">
      <c r="B279" s="18" t="s">
        <v>90</v>
      </c>
      <c r="C279" s="16"/>
      <c r="D279" s="16"/>
      <c r="E279" s="16"/>
      <c r="F279" s="16"/>
      <c r="G279" s="16"/>
      <c r="H279" s="16"/>
      <c r="I279" s="16"/>
      <c r="J279" s="16"/>
      <c r="K279" s="16"/>
      <c r="L279" s="16"/>
      <c r="M279" s="16"/>
      <c r="N279" s="16"/>
    </row>
    <row r="280" spans="2:14" ht="21.75" x14ac:dyDescent="0.3">
      <c r="B280" s="18" t="s">
        <v>105</v>
      </c>
      <c r="C280" s="16"/>
      <c r="D280" s="16"/>
      <c r="E280" s="16"/>
      <c r="F280" s="16"/>
      <c r="G280" s="16"/>
      <c r="H280" s="16"/>
      <c r="I280" s="16"/>
      <c r="J280" s="16"/>
      <c r="K280" s="16"/>
      <c r="L280" s="16"/>
      <c r="M280" s="16"/>
      <c r="N280" s="16"/>
    </row>
    <row r="281" spans="2:14" ht="21.75" x14ac:dyDescent="0.3">
      <c r="B281" s="18" t="s">
        <v>103</v>
      </c>
      <c r="C281" s="16"/>
      <c r="D281" s="16"/>
      <c r="E281" s="16"/>
      <c r="F281" s="16"/>
      <c r="G281" s="16"/>
      <c r="H281" s="16"/>
      <c r="I281" s="16"/>
      <c r="J281" s="16"/>
      <c r="K281" s="16"/>
      <c r="L281" s="16"/>
      <c r="M281" s="16"/>
      <c r="N281" s="16"/>
    </row>
    <row r="282" spans="2:14" ht="21.75" x14ac:dyDescent="0.3">
      <c r="B282" s="18" t="s">
        <v>104</v>
      </c>
      <c r="C282" s="16"/>
      <c r="D282" s="16"/>
      <c r="E282" s="16"/>
      <c r="F282" s="16"/>
      <c r="G282" s="16"/>
      <c r="H282" s="16"/>
      <c r="I282" s="16"/>
      <c r="J282" s="16"/>
      <c r="K282" s="16"/>
      <c r="L282" s="16"/>
      <c r="M282" s="16"/>
      <c r="N282" s="16"/>
    </row>
    <row r="283" spans="2:14" ht="21.75" x14ac:dyDescent="0.3">
      <c r="B283" s="18" t="s">
        <v>127</v>
      </c>
      <c r="C283" s="16"/>
      <c r="D283" s="16"/>
      <c r="E283" s="16"/>
      <c r="F283" s="16"/>
      <c r="G283" s="16"/>
      <c r="H283" s="16"/>
      <c r="I283" s="16"/>
      <c r="J283" s="16"/>
      <c r="K283" s="16"/>
      <c r="L283" s="16"/>
      <c r="M283" s="16"/>
      <c r="N283" s="16"/>
    </row>
    <row r="284" spans="2:14" ht="20.25" x14ac:dyDescent="0.3">
      <c r="B284" s="16"/>
      <c r="C284" s="16"/>
      <c r="D284" s="16"/>
      <c r="E284" s="16"/>
      <c r="F284" s="16"/>
      <c r="G284" s="16"/>
      <c r="H284" s="16"/>
      <c r="I284" s="16"/>
      <c r="J284" s="16"/>
      <c r="K284" s="16"/>
      <c r="L284" s="16"/>
      <c r="M284" s="16"/>
      <c r="N284" s="16"/>
    </row>
    <row r="285" spans="2:14" ht="20.25" x14ac:dyDescent="0.3">
      <c r="B285" s="16"/>
      <c r="C285" s="16"/>
      <c r="D285" s="16"/>
      <c r="E285" s="16"/>
      <c r="F285" s="16"/>
      <c r="G285" s="16"/>
      <c r="H285" s="16"/>
      <c r="I285" s="16"/>
      <c r="J285" s="16"/>
      <c r="K285" s="16"/>
      <c r="L285" s="16"/>
      <c r="M285" s="16"/>
      <c r="N285" s="16"/>
    </row>
    <row r="286" spans="2:14" ht="21" x14ac:dyDescent="0.3">
      <c r="B286" s="15" t="s">
        <v>24</v>
      </c>
      <c r="C286" s="16"/>
      <c r="D286" s="16"/>
      <c r="E286" s="16"/>
      <c r="F286" s="16"/>
      <c r="G286" s="16"/>
      <c r="H286" s="16"/>
      <c r="I286" s="16"/>
      <c r="J286" s="16"/>
      <c r="K286" s="16"/>
      <c r="L286" s="16"/>
      <c r="M286" s="16"/>
      <c r="N286" s="16"/>
    </row>
    <row r="287" spans="2:14" ht="21" x14ac:dyDescent="0.3">
      <c r="B287" s="17" t="s">
        <v>53</v>
      </c>
      <c r="C287" s="16"/>
      <c r="D287" s="16"/>
      <c r="E287" s="16"/>
      <c r="F287" s="16"/>
      <c r="G287" s="16"/>
      <c r="H287" s="16"/>
      <c r="I287" s="16"/>
      <c r="J287" s="16"/>
      <c r="K287" s="16"/>
      <c r="L287" s="16"/>
      <c r="M287" s="16"/>
      <c r="N287" s="16"/>
    </row>
    <row r="288" spans="2:14" ht="21" x14ac:dyDescent="0.3">
      <c r="B288" s="17"/>
      <c r="C288" s="16"/>
      <c r="D288" s="16"/>
      <c r="E288" s="16"/>
      <c r="F288" s="16"/>
      <c r="G288" s="16"/>
      <c r="H288" s="16"/>
      <c r="I288" s="16"/>
      <c r="J288" s="16"/>
      <c r="K288" s="16"/>
      <c r="L288" s="16"/>
      <c r="M288" s="16"/>
      <c r="N288" s="16"/>
    </row>
    <row r="289" spans="2:14" ht="21" x14ac:dyDescent="0.3">
      <c r="B289" s="15" t="s">
        <v>1</v>
      </c>
      <c r="C289" s="16"/>
      <c r="D289" s="16"/>
      <c r="E289" s="16"/>
      <c r="F289" s="16"/>
      <c r="G289" s="16"/>
      <c r="H289" s="16"/>
      <c r="I289" s="16"/>
      <c r="J289" s="16"/>
      <c r="K289" s="16"/>
      <c r="L289" s="16"/>
      <c r="M289" s="16"/>
      <c r="N289" s="16"/>
    </row>
    <row r="290" spans="2:14" ht="21.75" x14ac:dyDescent="0.3">
      <c r="B290" s="18" t="s">
        <v>81</v>
      </c>
      <c r="C290" s="16"/>
      <c r="D290" s="16"/>
      <c r="E290" s="16"/>
      <c r="F290" s="16"/>
      <c r="G290" s="16"/>
      <c r="H290" s="16"/>
      <c r="I290" s="16"/>
      <c r="J290" s="16"/>
      <c r="K290" s="16"/>
      <c r="L290" s="16"/>
      <c r="M290" s="16"/>
      <c r="N290" s="16"/>
    </row>
    <row r="291" spans="2:14" ht="21.75" x14ac:dyDescent="0.3">
      <c r="B291" s="18" t="s">
        <v>105</v>
      </c>
      <c r="C291" s="16"/>
      <c r="D291" s="16"/>
      <c r="E291" s="16"/>
      <c r="F291" s="16"/>
      <c r="G291" s="16"/>
      <c r="H291" s="16"/>
      <c r="I291" s="16"/>
      <c r="J291" s="16"/>
      <c r="K291" s="16"/>
      <c r="L291" s="16"/>
      <c r="M291" s="16"/>
      <c r="N291" s="16"/>
    </row>
    <row r="292" spans="2:14" ht="21.75" x14ac:dyDescent="0.3">
      <c r="B292" s="18" t="s">
        <v>103</v>
      </c>
      <c r="C292" s="16"/>
      <c r="D292" s="16"/>
      <c r="E292" s="16"/>
      <c r="F292" s="16"/>
      <c r="G292" s="16"/>
      <c r="H292" s="16"/>
      <c r="I292" s="16"/>
      <c r="J292" s="16"/>
      <c r="K292" s="16"/>
      <c r="L292" s="16"/>
      <c r="M292" s="16"/>
      <c r="N292" s="16"/>
    </row>
    <row r="293" spans="2:14" ht="21.75" x14ac:dyDescent="0.3">
      <c r="B293" s="18" t="s">
        <v>106</v>
      </c>
      <c r="C293" s="16"/>
      <c r="D293" s="16"/>
      <c r="E293" s="16"/>
      <c r="F293" s="16"/>
      <c r="G293" s="16"/>
      <c r="H293" s="16"/>
      <c r="I293" s="16"/>
      <c r="J293" s="16"/>
      <c r="K293" s="16"/>
      <c r="L293" s="16"/>
      <c r="M293" s="16"/>
      <c r="N293" s="16"/>
    </row>
    <row r="294" spans="2:14" ht="21.75" x14ac:dyDescent="0.3">
      <c r="B294" s="18" t="s">
        <v>127</v>
      </c>
      <c r="C294" s="16"/>
      <c r="D294" s="16"/>
      <c r="E294" s="16"/>
      <c r="F294" s="16"/>
      <c r="G294" s="16"/>
      <c r="H294" s="16"/>
      <c r="I294" s="16"/>
      <c r="J294" s="16"/>
      <c r="K294" s="16"/>
      <c r="L294" s="16"/>
      <c r="M294" s="16"/>
      <c r="N294" s="16"/>
    </row>
    <row r="295" spans="2:14" ht="20.25" x14ac:dyDescent="0.3">
      <c r="B295" s="16"/>
      <c r="C295" s="16"/>
      <c r="D295" s="16"/>
      <c r="E295" s="16"/>
      <c r="F295" s="16"/>
      <c r="G295" s="16"/>
      <c r="H295" s="16"/>
      <c r="I295" s="16"/>
      <c r="J295" s="16"/>
      <c r="K295" s="16"/>
      <c r="L295" s="16"/>
      <c r="M295" s="16"/>
      <c r="N295" s="16"/>
    </row>
    <row r="296" spans="2:14" ht="20.25" x14ac:dyDescent="0.3">
      <c r="B296" s="16"/>
      <c r="C296" s="16"/>
      <c r="D296" s="16"/>
      <c r="E296" s="16"/>
      <c r="F296" s="16"/>
      <c r="G296" s="16"/>
      <c r="H296" s="16"/>
      <c r="I296" s="16"/>
      <c r="J296" s="16"/>
      <c r="K296" s="16"/>
      <c r="L296" s="16"/>
      <c r="M296" s="16"/>
      <c r="N296" s="16"/>
    </row>
    <row r="297" spans="2:14" ht="21" x14ac:dyDescent="0.3">
      <c r="B297" s="15" t="s">
        <v>49</v>
      </c>
      <c r="C297" s="16"/>
      <c r="D297" s="16"/>
      <c r="E297" s="16"/>
      <c r="F297" s="16"/>
      <c r="G297" s="16"/>
      <c r="H297" s="16"/>
      <c r="I297" s="16"/>
      <c r="J297" s="16"/>
      <c r="K297" s="16"/>
      <c r="L297" s="16"/>
      <c r="M297" s="16"/>
      <c r="N297" s="16"/>
    </row>
    <row r="298" spans="2:14" ht="21" x14ac:dyDescent="0.3">
      <c r="B298" s="17" t="s">
        <v>54</v>
      </c>
      <c r="C298" s="16"/>
      <c r="D298" s="16"/>
      <c r="E298" s="16"/>
      <c r="F298" s="16"/>
      <c r="G298" s="16"/>
      <c r="H298" s="16"/>
      <c r="I298" s="16"/>
      <c r="J298" s="16"/>
      <c r="K298" s="16"/>
      <c r="L298" s="16"/>
      <c r="M298" s="16"/>
      <c r="N298" s="16"/>
    </row>
    <row r="299" spans="2:14" ht="21" x14ac:dyDescent="0.3">
      <c r="B299" s="17"/>
      <c r="C299" s="16"/>
      <c r="D299" s="16"/>
      <c r="E299" s="16"/>
      <c r="F299" s="16"/>
      <c r="G299" s="16"/>
      <c r="H299" s="16"/>
      <c r="I299" s="16"/>
      <c r="J299" s="16"/>
      <c r="K299" s="16"/>
      <c r="L299" s="16"/>
      <c r="M299" s="16"/>
      <c r="N299" s="16"/>
    </row>
    <row r="300" spans="2:14" ht="21" x14ac:dyDescent="0.3">
      <c r="B300" s="15" t="s">
        <v>1</v>
      </c>
      <c r="C300" s="16"/>
      <c r="D300" s="16"/>
      <c r="E300" s="16"/>
      <c r="F300" s="16"/>
      <c r="G300" s="16"/>
      <c r="H300" s="16"/>
      <c r="I300" s="16"/>
      <c r="J300" s="16"/>
      <c r="K300" s="16"/>
      <c r="L300" s="16"/>
      <c r="M300" s="16"/>
      <c r="N300" s="16"/>
    </row>
    <row r="301" spans="2:14" ht="21.75" x14ac:dyDescent="0.3">
      <c r="B301" s="18" t="s">
        <v>86</v>
      </c>
      <c r="C301" s="16"/>
      <c r="D301" s="16"/>
      <c r="E301" s="16"/>
      <c r="F301" s="16"/>
      <c r="G301" s="16"/>
      <c r="H301" s="16"/>
      <c r="I301" s="16"/>
      <c r="J301" s="16"/>
      <c r="K301" s="16"/>
      <c r="L301" s="16"/>
      <c r="M301" s="16"/>
      <c r="N301" s="16"/>
    </row>
    <row r="302" spans="2:14" ht="21.75" x14ac:dyDescent="0.3">
      <c r="B302" s="18" t="s">
        <v>105</v>
      </c>
      <c r="C302" s="16"/>
      <c r="D302" s="16"/>
      <c r="E302" s="16"/>
      <c r="F302" s="16"/>
      <c r="G302" s="16"/>
      <c r="H302" s="16"/>
      <c r="I302" s="16"/>
      <c r="J302" s="16"/>
      <c r="K302" s="16"/>
      <c r="L302" s="16"/>
      <c r="M302" s="16"/>
      <c r="N302" s="16"/>
    </row>
    <row r="303" spans="2:14" ht="21.75" x14ac:dyDescent="0.3">
      <c r="B303" s="18" t="s">
        <v>103</v>
      </c>
      <c r="C303" s="16"/>
      <c r="D303" s="16"/>
      <c r="E303" s="16"/>
      <c r="F303" s="16"/>
      <c r="G303" s="16"/>
      <c r="H303" s="16"/>
      <c r="I303" s="16"/>
      <c r="J303" s="16"/>
      <c r="K303" s="16"/>
      <c r="L303" s="16"/>
      <c r="M303" s="16"/>
      <c r="N303" s="16"/>
    </row>
    <row r="304" spans="2:14" ht="21.75" x14ac:dyDescent="0.3">
      <c r="B304" s="18" t="s">
        <v>107</v>
      </c>
      <c r="C304" s="16"/>
      <c r="D304" s="16"/>
      <c r="E304" s="16"/>
      <c r="F304" s="16"/>
      <c r="G304" s="16"/>
      <c r="H304" s="16"/>
      <c r="I304" s="16"/>
      <c r="J304" s="16"/>
      <c r="K304" s="16"/>
      <c r="L304" s="16"/>
      <c r="M304" s="16"/>
      <c r="N304" s="16"/>
    </row>
    <row r="305" spans="2:14" ht="21.75" x14ac:dyDescent="0.3">
      <c r="B305" s="18" t="s">
        <v>127</v>
      </c>
      <c r="C305" s="16"/>
      <c r="D305" s="16"/>
      <c r="E305" s="16"/>
      <c r="F305" s="16"/>
      <c r="G305" s="16"/>
      <c r="H305" s="16"/>
      <c r="I305" s="16"/>
      <c r="J305" s="16"/>
      <c r="K305" s="16"/>
      <c r="L305" s="16"/>
      <c r="M305" s="16"/>
      <c r="N305" s="16"/>
    </row>
    <row r="306" spans="2:14" ht="20.25" x14ac:dyDescent="0.3">
      <c r="B306" s="16"/>
      <c r="C306" s="16"/>
      <c r="D306" s="16"/>
      <c r="E306" s="16"/>
      <c r="F306" s="16"/>
      <c r="G306" s="16"/>
      <c r="H306" s="16"/>
      <c r="I306" s="16"/>
      <c r="J306" s="16"/>
      <c r="K306" s="16"/>
      <c r="L306" s="16"/>
      <c r="M306" s="16"/>
      <c r="N306" s="16"/>
    </row>
    <row r="307" spans="2:14" ht="20.25" x14ac:dyDescent="0.3">
      <c r="B307" s="16"/>
      <c r="C307" s="16"/>
      <c r="D307" s="16"/>
      <c r="E307" s="16"/>
      <c r="F307" s="16"/>
      <c r="G307" s="16"/>
      <c r="H307" s="16"/>
      <c r="I307" s="16"/>
      <c r="J307" s="16"/>
      <c r="K307" s="16"/>
      <c r="L307" s="16"/>
      <c r="M307" s="16"/>
      <c r="N307" s="16"/>
    </row>
    <row r="308" spans="2:14" ht="21" x14ac:dyDescent="0.3">
      <c r="B308" s="15" t="s">
        <v>50</v>
      </c>
      <c r="C308" s="16"/>
      <c r="D308" s="16"/>
      <c r="E308" s="16"/>
      <c r="F308" s="16"/>
      <c r="G308" s="16"/>
      <c r="H308" s="16"/>
      <c r="I308" s="16"/>
      <c r="J308" s="16"/>
      <c r="K308" s="16"/>
      <c r="L308" s="16"/>
      <c r="M308" s="16"/>
      <c r="N308" s="16"/>
    </row>
    <row r="309" spans="2:14" ht="21" x14ac:dyDescent="0.3">
      <c r="B309" s="17" t="s">
        <v>55</v>
      </c>
      <c r="C309" s="16"/>
      <c r="D309" s="16"/>
      <c r="E309" s="16"/>
      <c r="F309" s="16"/>
      <c r="G309" s="16"/>
      <c r="H309" s="16"/>
      <c r="I309" s="16"/>
      <c r="J309" s="16"/>
      <c r="K309" s="16"/>
      <c r="L309" s="16"/>
      <c r="M309" s="16"/>
      <c r="N309" s="16"/>
    </row>
    <row r="310" spans="2:14" ht="21" x14ac:dyDescent="0.3">
      <c r="B310" s="17"/>
      <c r="C310" s="16"/>
      <c r="D310" s="16"/>
      <c r="E310" s="16"/>
      <c r="F310" s="16"/>
      <c r="G310" s="16"/>
      <c r="H310" s="16"/>
      <c r="I310" s="16"/>
      <c r="J310" s="16"/>
      <c r="K310" s="16"/>
      <c r="L310" s="16"/>
      <c r="M310" s="16"/>
      <c r="N310" s="16"/>
    </row>
    <row r="311" spans="2:14" ht="21" x14ac:dyDescent="0.3">
      <c r="B311" s="15" t="s">
        <v>1</v>
      </c>
      <c r="C311" s="16"/>
      <c r="D311" s="16"/>
      <c r="E311" s="16"/>
      <c r="F311" s="16"/>
      <c r="G311" s="16"/>
      <c r="H311" s="16"/>
      <c r="I311" s="16"/>
      <c r="J311" s="16"/>
      <c r="K311" s="16"/>
      <c r="L311" s="16"/>
      <c r="M311" s="16"/>
      <c r="N311" s="16"/>
    </row>
    <row r="312" spans="2:14" ht="21.75" x14ac:dyDescent="0.3">
      <c r="B312" s="18" t="s">
        <v>86</v>
      </c>
      <c r="C312" s="16"/>
      <c r="D312" s="16"/>
      <c r="E312" s="16"/>
      <c r="F312" s="16"/>
      <c r="G312" s="16"/>
      <c r="H312" s="16"/>
      <c r="I312" s="16"/>
      <c r="J312" s="16"/>
      <c r="K312" s="16"/>
      <c r="L312" s="16"/>
      <c r="M312" s="16"/>
      <c r="N312" s="16"/>
    </row>
    <row r="313" spans="2:14" ht="21.75" x14ac:dyDescent="0.3">
      <c r="B313" s="18" t="s">
        <v>105</v>
      </c>
      <c r="C313" s="16"/>
      <c r="D313" s="16"/>
      <c r="E313" s="16"/>
      <c r="F313" s="16"/>
      <c r="G313" s="16"/>
      <c r="H313" s="16"/>
      <c r="I313" s="16"/>
      <c r="J313" s="16"/>
      <c r="K313" s="16"/>
      <c r="L313" s="16"/>
      <c r="M313" s="16"/>
      <c r="N313" s="16"/>
    </row>
    <row r="314" spans="2:14" ht="21.75" x14ac:dyDescent="0.3">
      <c r="B314" s="18" t="s">
        <v>103</v>
      </c>
      <c r="C314" s="16"/>
      <c r="D314" s="16"/>
      <c r="E314" s="16"/>
      <c r="F314" s="16"/>
      <c r="G314" s="16"/>
      <c r="H314" s="16"/>
      <c r="I314" s="16"/>
      <c r="J314" s="16"/>
      <c r="K314" s="16"/>
      <c r="L314" s="16"/>
      <c r="M314" s="16"/>
      <c r="N314" s="16"/>
    </row>
    <row r="315" spans="2:14" ht="21.75" x14ac:dyDescent="0.3">
      <c r="B315" s="18" t="s">
        <v>107</v>
      </c>
      <c r="C315" s="16"/>
      <c r="D315" s="16"/>
      <c r="E315" s="16"/>
      <c r="F315" s="16"/>
      <c r="G315" s="16"/>
      <c r="H315" s="16"/>
      <c r="I315" s="16"/>
      <c r="J315" s="16"/>
      <c r="K315" s="16"/>
      <c r="L315" s="16"/>
      <c r="M315" s="16"/>
      <c r="N315" s="16"/>
    </row>
    <row r="316" spans="2:14" ht="21.75" x14ac:dyDescent="0.3">
      <c r="B316" s="18" t="s">
        <v>127</v>
      </c>
      <c r="C316" s="16"/>
      <c r="D316" s="16"/>
      <c r="E316" s="16"/>
      <c r="F316" s="16"/>
      <c r="G316" s="16"/>
      <c r="H316" s="16"/>
      <c r="I316" s="16"/>
      <c r="J316" s="16"/>
      <c r="K316" s="16"/>
      <c r="L316" s="16"/>
      <c r="M316" s="16"/>
      <c r="N316" s="16"/>
    </row>
    <row r="317" spans="2:14" ht="20.25" x14ac:dyDescent="0.3">
      <c r="B317" s="16"/>
      <c r="C317" s="16"/>
      <c r="D317" s="16"/>
      <c r="E317" s="16"/>
      <c r="F317" s="16"/>
      <c r="G317" s="16"/>
      <c r="H317" s="16"/>
      <c r="I317" s="16"/>
      <c r="J317" s="16"/>
      <c r="K317" s="16"/>
      <c r="L317" s="16"/>
      <c r="M317" s="16"/>
      <c r="N317" s="16"/>
    </row>
    <row r="318" spans="2:14" ht="20.25" x14ac:dyDescent="0.3">
      <c r="B318" s="16"/>
      <c r="C318" s="16"/>
      <c r="D318" s="16"/>
      <c r="E318" s="16"/>
      <c r="F318" s="16"/>
      <c r="G318" s="16"/>
      <c r="H318" s="16"/>
      <c r="I318" s="16"/>
      <c r="J318" s="16"/>
      <c r="K318" s="16"/>
      <c r="L318" s="16"/>
      <c r="M318" s="16"/>
      <c r="N318" s="16"/>
    </row>
    <row r="319" spans="2:14" ht="21" x14ac:dyDescent="0.3">
      <c r="B319" s="15" t="s">
        <v>51</v>
      </c>
      <c r="C319" s="16"/>
      <c r="D319" s="16"/>
      <c r="E319" s="16"/>
      <c r="F319" s="16"/>
      <c r="G319" s="16"/>
      <c r="H319" s="16"/>
      <c r="I319" s="16"/>
      <c r="J319" s="16"/>
      <c r="K319" s="16"/>
      <c r="L319" s="16"/>
      <c r="M319" s="16"/>
      <c r="N319" s="16"/>
    </row>
    <row r="320" spans="2:14" ht="21" x14ac:dyDescent="0.3">
      <c r="B320" s="17" t="s">
        <v>56</v>
      </c>
      <c r="C320" s="16"/>
      <c r="D320" s="16"/>
      <c r="E320" s="16"/>
      <c r="F320" s="16"/>
      <c r="G320" s="16"/>
      <c r="H320" s="16"/>
      <c r="I320" s="16"/>
      <c r="J320" s="16"/>
      <c r="K320" s="16"/>
      <c r="L320" s="16"/>
      <c r="M320" s="16"/>
      <c r="N320" s="16"/>
    </row>
    <row r="321" spans="2:14" ht="21" x14ac:dyDescent="0.3">
      <c r="B321" s="17"/>
      <c r="C321" s="16"/>
      <c r="D321" s="16"/>
      <c r="E321" s="16"/>
      <c r="F321" s="16"/>
      <c r="G321" s="16"/>
      <c r="H321" s="16"/>
      <c r="I321" s="16"/>
      <c r="J321" s="16"/>
      <c r="K321" s="16"/>
      <c r="L321" s="16"/>
      <c r="M321" s="16"/>
      <c r="N321" s="16"/>
    </row>
    <row r="322" spans="2:14" ht="21" x14ac:dyDescent="0.3">
      <c r="B322" s="15" t="s">
        <v>1</v>
      </c>
      <c r="C322" s="16"/>
      <c r="D322" s="16"/>
      <c r="E322" s="16"/>
      <c r="F322" s="16"/>
      <c r="G322" s="16"/>
      <c r="H322" s="16"/>
      <c r="I322" s="16"/>
      <c r="J322" s="16"/>
      <c r="K322" s="16"/>
      <c r="L322" s="16"/>
      <c r="M322" s="16"/>
      <c r="N322" s="16"/>
    </row>
    <row r="323" spans="2:14" ht="21.75" x14ac:dyDescent="0.3">
      <c r="B323" s="18" t="s">
        <v>81</v>
      </c>
      <c r="C323" s="16"/>
      <c r="D323" s="16"/>
      <c r="E323" s="16"/>
      <c r="F323" s="16"/>
      <c r="G323" s="16"/>
      <c r="H323" s="16"/>
      <c r="I323" s="16"/>
      <c r="J323" s="16"/>
      <c r="K323" s="16"/>
      <c r="L323" s="16"/>
      <c r="M323" s="16"/>
      <c r="N323" s="16"/>
    </row>
    <row r="324" spans="2:14" ht="21.75" x14ac:dyDescent="0.3">
      <c r="B324" s="18" t="s">
        <v>105</v>
      </c>
      <c r="C324" s="16"/>
      <c r="D324" s="16"/>
      <c r="E324" s="16"/>
      <c r="F324" s="16"/>
      <c r="G324" s="16"/>
      <c r="H324" s="16"/>
      <c r="I324" s="16"/>
      <c r="J324" s="16"/>
      <c r="K324" s="16"/>
      <c r="L324" s="16"/>
      <c r="M324" s="16"/>
      <c r="N324" s="16"/>
    </row>
    <row r="325" spans="2:14" ht="21.75" x14ac:dyDescent="0.3">
      <c r="B325" s="18" t="s">
        <v>103</v>
      </c>
      <c r="C325" s="16"/>
      <c r="D325" s="16"/>
      <c r="E325" s="16"/>
      <c r="F325" s="16"/>
      <c r="G325" s="16"/>
      <c r="H325" s="16"/>
      <c r="I325" s="16"/>
      <c r="J325" s="16"/>
      <c r="K325" s="16"/>
      <c r="L325" s="16"/>
      <c r="M325" s="16"/>
      <c r="N325" s="16"/>
    </row>
    <row r="326" spans="2:14" ht="21.75" x14ac:dyDescent="0.3">
      <c r="B326" s="18" t="s">
        <v>106</v>
      </c>
      <c r="C326" s="16"/>
      <c r="D326" s="16"/>
      <c r="E326" s="16"/>
      <c r="F326" s="16"/>
      <c r="G326" s="16"/>
      <c r="H326" s="16"/>
      <c r="I326" s="16"/>
      <c r="J326" s="16"/>
      <c r="K326" s="16"/>
      <c r="L326" s="16"/>
      <c r="M326" s="16"/>
      <c r="N326" s="16"/>
    </row>
    <row r="327" spans="2:14" ht="21.75" x14ac:dyDescent="0.3">
      <c r="B327" s="18" t="s">
        <v>127</v>
      </c>
      <c r="C327" s="16"/>
      <c r="D327" s="16"/>
      <c r="E327" s="16"/>
      <c r="F327" s="16"/>
      <c r="G327" s="16"/>
      <c r="H327" s="16"/>
      <c r="I327" s="16"/>
      <c r="J327" s="16"/>
      <c r="K327" s="16"/>
      <c r="L327" s="16"/>
      <c r="M327" s="16"/>
      <c r="N327" s="16"/>
    </row>
    <row r="328" spans="2:14" ht="21.75" x14ac:dyDescent="0.3">
      <c r="B328" s="18"/>
      <c r="C328" s="16"/>
      <c r="D328" s="16"/>
      <c r="E328" s="16"/>
      <c r="F328" s="16"/>
      <c r="G328" s="16"/>
      <c r="H328" s="16"/>
      <c r="I328" s="16"/>
      <c r="J328" s="16"/>
      <c r="K328" s="16"/>
      <c r="L328" s="16"/>
      <c r="M328" s="16"/>
      <c r="N328" s="16"/>
    </row>
    <row r="329" spans="2:14" ht="20.25" x14ac:dyDescent="0.3">
      <c r="B329" s="16"/>
      <c r="C329" s="16"/>
      <c r="D329" s="16"/>
      <c r="E329" s="16"/>
      <c r="F329" s="16"/>
      <c r="G329" s="16"/>
      <c r="H329" s="16"/>
      <c r="I329" s="16"/>
      <c r="J329" s="16"/>
      <c r="K329" s="16"/>
      <c r="L329" s="16"/>
      <c r="M329" s="16"/>
      <c r="N329" s="16"/>
    </row>
    <row r="330" spans="2:14" ht="21" x14ac:dyDescent="0.3">
      <c r="B330" s="15" t="s">
        <v>167</v>
      </c>
      <c r="C330" s="16"/>
      <c r="D330" s="16"/>
      <c r="E330" s="16"/>
      <c r="F330" s="16"/>
      <c r="G330" s="16"/>
      <c r="H330" s="16"/>
      <c r="I330" s="16"/>
      <c r="J330" s="16"/>
      <c r="K330" s="16"/>
      <c r="L330" s="16"/>
      <c r="M330" s="16"/>
      <c r="N330" s="16"/>
    </row>
    <row r="331" spans="2:14" ht="21" x14ac:dyDescent="0.3">
      <c r="B331" s="17" t="s">
        <v>59</v>
      </c>
      <c r="C331" s="16"/>
      <c r="D331" s="16"/>
      <c r="E331" s="16"/>
      <c r="F331" s="16"/>
      <c r="G331" s="16"/>
      <c r="H331" s="16"/>
      <c r="I331" s="16"/>
      <c r="J331" s="16"/>
      <c r="K331" s="16"/>
      <c r="L331" s="16"/>
      <c r="M331" s="16"/>
      <c r="N331" s="16"/>
    </row>
    <row r="332" spans="2:14" ht="21" x14ac:dyDescent="0.3">
      <c r="B332" s="17"/>
      <c r="C332" s="16"/>
      <c r="D332" s="16"/>
      <c r="E332" s="16"/>
      <c r="F332" s="16"/>
      <c r="G332" s="16"/>
      <c r="H332" s="16"/>
      <c r="I332" s="16"/>
      <c r="J332" s="16"/>
      <c r="K332" s="16"/>
      <c r="L332" s="16"/>
      <c r="M332" s="16"/>
      <c r="N332" s="16"/>
    </row>
    <row r="333" spans="2:14" ht="21" x14ac:dyDescent="0.3">
      <c r="B333" s="15" t="s">
        <v>1</v>
      </c>
      <c r="C333" s="16"/>
      <c r="D333" s="16"/>
      <c r="E333" s="16"/>
      <c r="F333" s="16"/>
      <c r="G333" s="16"/>
      <c r="H333" s="16"/>
      <c r="I333" s="16"/>
      <c r="J333" s="16"/>
      <c r="K333" s="16"/>
      <c r="L333" s="16"/>
      <c r="M333" s="16"/>
      <c r="N333" s="16"/>
    </row>
    <row r="334" spans="2:14" ht="21.75" x14ac:dyDescent="0.3">
      <c r="B334" s="18" t="s">
        <v>91</v>
      </c>
      <c r="G334" s="16"/>
      <c r="H334" s="16"/>
      <c r="I334" s="16"/>
      <c r="J334" s="16"/>
      <c r="K334" s="16"/>
      <c r="L334" s="16"/>
      <c r="M334" s="16"/>
      <c r="N334" s="16"/>
    </row>
    <row r="335" spans="2:14" ht="21.75" x14ac:dyDescent="0.3">
      <c r="B335" s="18" t="s">
        <v>163</v>
      </c>
      <c r="G335" s="16"/>
      <c r="H335" s="16"/>
      <c r="I335" s="16"/>
      <c r="J335" s="16"/>
      <c r="K335" s="16"/>
      <c r="L335" s="16"/>
      <c r="M335" s="16"/>
      <c r="N335" s="16"/>
    </row>
    <row r="336" spans="2:14" ht="21.75" x14ac:dyDescent="0.3">
      <c r="B336" s="18" t="s">
        <v>164</v>
      </c>
      <c r="G336" s="16"/>
      <c r="H336" s="16"/>
      <c r="I336" s="16"/>
      <c r="J336" s="16"/>
      <c r="K336" s="16"/>
      <c r="L336" s="16"/>
      <c r="M336" s="16"/>
      <c r="N336" s="16"/>
    </row>
    <row r="337" spans="2:14" ht="21.75" x14ac:dyDescent="0.3">
      <c r="B337" s="18" t="s">
        <v>165</v>
      </c>
      <c r="G337" s="16"/>
      <c r="H337" s="16"/>
      <c r="I337" s="16"/>
      <c r="J337" s="16"/>
      <c r="K337" s="16"/>
      <c r="L337" s="16"/>
      <c r="M337" s="16"/>
      <c r="N337" s="16"/>
    </row>
    <row r="338" spans="2:14" ht="21.75" x14ac:dyDescent="0.3">
      <c r="B338" s="18" t="s">
        <v>126</v>
      </c>
      <c r="C338" s="16"/>
      <c r="D338" s="16"/>
      <c r="E338" s="16"/>
      <c r="F338" s="16"/>
      <c r="G338" s="16"/>
      <c r="H338" s="16"/>
      <c r="I338" s="16"/>
      <c r="J338" s="16"/>
      <c r="K338" s="16"/>
      <c r="L338" s="16"/>
      <c r="M338" s="16"/>
      <c r="N338" s="16"/>
    </row>
    <row r="339" spans="2:14" ht="20.25" x14ac:dyDescent="0.3">
      <c r="B339" s="16"/>
      <c r="C339" s="16"/>
      <c r="D339" s="16"/>
      <c r="E339" s="16"/>
      <c r="F339" s="16"/>
      <c r="G339" s="16"/>
      <c r="H339" s="16"/>
      <c r="I339" s="16"/>
      <c r="J339" s="16"/>
      <c r="K339" s="16"/>
      <c r="L339" s="16"/>
      <c r="M339" s="16"/>
      <c r="N339" s="16"/>
    </row>
    <row r="340" spans="2:14" ht="20.25" x14ac:dyDescent="0.3">
      <c r="B340" s="16"/>
      <c r="C340" s="16"/>
      <c r="D340" s="16"/>
      <c r="E340" s="16"/>
      <c r="F340" s="16"/>
      <c r="G340" s="16"/>
      <c r="H340" s="16"/>
      <c r="I340" s="16"/>
      <c r="J340" s="16"/>
      <c r="K340" s="16"/>
      <c r="L340" s="16"/>
      <c r="M340" s="16"/>
      <c r="N340" s="16"/>
    </row>
    <row r="341" spans="2:14" ht="20.25" x14ac:dyDescent="0.3">
      <c r="B341" s="16"/>
      <c r="C341" s="16"/>
      <c r="D341" s="16"/>
      <c r="E341" s="16"/>
      <c r="F341" s="16"/>
      <c r="G341" s="16"/>
      <c r="H341" s="16"/>
      <c r="I341" s="16"/>
      <c r="J341" s="16"/>
      <c r="K341" s="16"/>
      <c r="L341" s="16"/>
      <c r="M341" s="16"/>
      <c r="N341" s="16"/>
    </row>
    <row r="342" spans="2:14" ht="20.25" x14ac:dyDescent="0.3">
      <c r="B342" s="16"/>
      <c r="C342" s="16"/>
      <c r="D342" s="16"/>
      <c r="E342" s="16"/>
      <c r="F342" s="16"/>
      <c r="G342" s="16"/>
      <c r="H342" s="16"/>
      <c r="I342" s="16"/>
      <c r="J342" s="16"/>
      <c r="K342" s="16"/>
      <c r="L342" s="16"/>
      <c r="M342" s="16"/>
      <c r="N342" s="16"/>
    </row>
    <row r="343" spans="2:14" ht="20.25" x14ac:dyDescent="0.3">
      <c r="B343" s="16"/>
      <c r="C343" s="16"/>
      <c r="D343" s="16"/>
      <c r="E343" s="16"/>
      <c r="F343" s="16"/>
      <c r="G343" s="16"/>
      <c r="H343" s="16"/>
      <c r="I343" s="16"/>
      <c r="J343" s="16"/>
      <c r="K343" s="16"/>
      <c r="L343" s="16"/>
      <c r="M343" s="16"/>
      <c r="N343" s="16"/>
    </row>
    <row r="344" spans="2:14" ht="20.25" x14ac:dyDescent="0.3">
      <c r="B344" s="16"/>
      <c r="C344" s="16"/>
      <c r="D344" s="16"/>
      <c r="E344" s="16"/>
      <c r="F344" s="16"/>
      <c r="G344" s="16"/>
      <c r="H344" s="16"/>
      <c r="I344" s="16"/>
      <c r="J344" s="16"/>
      <c r="K344" s="16"/>
      <c r="L344" s="16"/>
      <c r="M344" s="16"/>
      <c r="N344" s="16"/>
    </row>
    <row r="345" spans="2:14" ht="20.25" x14ac:dyDescent="0.3">
      <c r="B345" s="16"/>
      <c r="C345" s="16"/>
      <c r="D345" s="16"/>
      <c r="E345" s="16"/>
      <c r="F345" s="16"/>
      <c r="G345" s="16"/>
      <c r="H345" s="16"/>
      <c r="I345" s="16"/>
      <c r="J345" s="16"/>
      <c r="K345" s="16"/>
      <c r="L345" s="16"/>
      <c r="M345" s="16"/>
      <c r="N345" s="16"/>
    </row>
    <row r="346" spans="2:14" ht="20.25" x14ac:dyDescent="0.3">
      <c r="B346" s="16"/>
      <c r="C346" s="16"/>
      <c r="D346" s="16"/>
      <c r="E346" s="16"/>
      <c r="F346" s="16"/>
      <c r="G346" s="16"/>
      <c r="H346" s="16"/>
      <c r="I346" s="16"/>
      <c r="J346" s="16"/>
      <c r="K346" s="16"/>
      <c r="L346" s="16"/>
      <c r="M346" s="16"/>
      <c r="N346" s="16"/>
    </row>
    <row r="347" spans="2:14" ht="20.25" x14ac:dyDescent="0.3">
      <c r="B347" s="16"/>
      <c r="C347" s="16"/>
      <c r="D347" s="16"/>
      <c r="E347" s="16"/>
      <c r="F347" s="16"/>
      <c r="G347" s="16"/>
      <c r="H347" s="16"/>
      <c r="I347" s="16"/>
      <c r="J347" s="16"/>
      <c r="K347" s="16"/>
      <c r="L347" s="16"/>
      <c r="M347" s="16"/>
      <c r="N347" s="16"/>
    </row>
    <row r="348" spans="2:14" ht="20.25" x14ac:dyDescent="0.3">
      <c r="B348" s="16"/>
      <c r="C348" s="16"/>
      <c r="D348" s="16"/>
      <c r="E348" s="16"/>
      <c r="F348" s="16"/>
      <c r="G348" s="16"/>
      <c r="H348" s="16"/>
      <c r="I348" s="16"/>
      <c r="J348" s="16"/>
      <c r="K348" s="16"/>
      <c r="L348" s="16"/>
      <c r="M348" s="16"/>
      <c r="N348" s="16"/>
    </row>
    <row r="349" spans="2:14" ht="20.25" x14ac:dyDescent="0.3">
      <c r="B349" s="16"/>
      <c r="C349" s="16"/>
      <c r="D349" s="16"/>
      <c r="E349" s="16"/>
      <c r="F349" s="16"/>
      <c r="G349" s="16"/>
      <c r="H349" s="16"/>
      <c r="I349" s="16"/>
      <c r="J349" s="16"/>
      <c r="K349" s="16"/>
      <c r="L349" s="16"/>
      <c r="M349" s="16"/>
      <c r="N349" s="16"/>
    </row>
    <row r="350" spans="2:14" ht="20.25" x14ac:dyDescent="0.3">
      <c r="B350" s="16"/>
      <c r="C350" s="16"/>
      <c r="D350" s="16"/>
      <c r="E350" s="16"/>
      <c r="F350" s="16"/>
      <c r="G350" s="16"/>
      <c r="H350" s="16"/>
      <c r="I350" s="16"/>
      <c r="J350" s="16"/>
      <c r="K350" s="16"/>
      <c r="L350" s="16"/>
      <c r="M350" s="16"/>
      <c r="N350" s="16"/>
    </row>
    <row r="351" spans="2:14" ht="20.25" x14ac:dyDescent="0.3">
      <c r="B351" s="16"/>
      <c r="C351" s="16"/>
      <c r="D351" s="16"/>
      <c r="E351" s="16"/>
      <c r="F351" s="16"/>
      <c r="G351" s="16"/>
      <c r="H351" s="16"/>
      <c r="I351" s="16"/>
      <c r="J351" s="16"/>
      <c r="K351" s="16"/>
      <c r="L351" s="16"/>
      <c r="M351" s="16"/>
      <c r="N351" s="16"/>
    </row>
    <row r="352" spans="2:14" ht="20.25" x14ac:dyDescent="0.3">
      <c r="B352" s="16"/>
      <c r="C352" s="16"/>
      <c r="D352" s="16"/>
      <c r="E352" s="16"/>
      <c r="F352" s="16"/>
      <c r="G352" s="16"/>
      <c r="H352" s="16"/>
      <c r="I352" s="16"/>
      <c r="J352" s="16"/>
      <c r="K352" s="16"/>
      <c r="L352" s="16"/>
      <c r="M352" s="16"/>
      <c r="N352" s="16"/>
    </row>
    <row r="353" spans="2:14" ht="20.25" x14ac:dyDescent="0.3">
      <c r="B353" s="16"/>
      <c r="C353" s="16"/>
      <c r="D353" s="16"/>
      <c r="E353" s="16"/>
      <c r="F353" s="16"/>
      <c r="G353" s="16"/>
      <c r="H353" s="16"/>
      <c r="I353" s="16"/>
      <c r="J353" s="16"/>
      <c r="K353" s="16"/>
      <c r="L353" s="16"/>
      <c r="M353" s="16"/>
      <c r="N353" s="16"/>
    </row>
    <row r="354" spans="2:14" ht="20.25" x14ac:dyDescent="0.3">
      <c r="B354" s="16"/>
      <c r="C354" s="16"/>
      <c r="D354" s="16"/>
      <c r="E354" s="16"/>
      <c r="F354" s="16"/>
      <c r="G354" s="16"/>
      <c r="H354" s="16"/>
      <c r="I354" s="16"/>
      <c r="J354" s="16"/>
      <c r="K354" s="16"/>
      <c r="L354" s="16"/>
      <c r="M354" s="16"/>
      <c r="N354" s="16"/>
    </row>
    <row r="355" spans="2:14" ht="20.25" x14ac:dyDescent="0.3">
      <c r="B355" s="16"/>
      <c r="C355" s="16"/>
      <c r="D355" s="16"/>
      <c r="E355" s="16"/>
      <c r="F355" s="16"/>
      <c r="G355" s="16"/>
      <c r="H355" s="16"/>
      <c r="I355" s="16"/>
      <c r="J355" s="16"/>
      <c r="K355" s="16"/>
      <c r="L355" s="16"/>
      <c r="M355" s="16"/>
      <c r="N355" s="16"/>
    </row>
    <row r="356" spans="2:14" ht="20.25" x14ac:dyDescent="0.3">
      <c r="B356" s="16"/>
      <c r="C356" s="16"/>
      <c r="D356" s="16"/>
      <c r="E356" s="16"/>
      <c r="F356" s="16"/>
      <c r="G356" s="16"/>
      <c r="H356" s="16"/>
      <c r="I356" s="16"/>
      <c r="J356" s="16"/>
      <c r="K356" s="16"/>
      <c r="L356" s="16"/>
      <c r="M356" s="16"/>
      <c r="N356" s="16"/>
    </row>
    <row r="357" spans="2:14" ht="20.25" x14ac:dyDescent="0.3">
      <c r="B357" s="16"/>
      <c r="C357" s="16"/>
      <c r="D357" s="16"/>
      <c r="E357" s="16"/>
      <c r="F357" s="16"/>
      <c r="G357" s="16"/>
      <c r="H357" s="16"/>
      <c r="I357" s="16"/>
      <c r="J357" s="16"/>
      <c r="K357" s="16"/>
      <c r="L357" s="16"/>
      <c r="M357" s="16"/>
      <c r="N357" s="16"/>
    </row>
    <row r="358" spans="2:14" ht="20.25" x14ac:dyDescent="0.3">
      <c r="B358" s="16"/>
      <c r="C358" s="16"/>
      <c r="D358" s="16"/>
      <c r="E358" s="16"/>
      <c r="F358" s="16"/>
      <c r="G358" s="16"/>
      <c r="H358" s="16"/>
      <c r="I358" s="16"/>
      <c r="J358" s="16"/>
      <c r="K358" s="16"/>
      <c r="L358" s="16"/>
      <c r="M358" s="16"/>
      <c r="N358" s="16"/>
    </row>
    <row r="359" spans="2:14" ht="20.25" x14ac:dyDescent="0.3">
      <c r="B359" s="16"/>
      <c r="C359" s="16"/>
      <c r="D359" s="16"/>
      <c r="E359" s="16"/>
      <c r="F359" s="16"/>
      <c r="G359" s="16"/>
      <c r="H359" s="16"/>
      <c r="I359" s="16"/>
      <c r="J359" s="16"/>
      <c r="K359" s="16"/>
      <c r="L359" s="16"/>
      <c r="M359" s="16"/>
      <c r="N359" s="16"/>
    </row>
    <row r="360" spans="2:14" ht="20.25" x14ac:dyDescent="0.3">
      <c r="B360" s="16"/>
      <c r="C360" s="16"/>
      <c r="D360" s="16"/>
      <c r="E360" s="16"/>
      <c r="F360" s="16"/>
      <c r="G360" s="16"/>
      <c r="H360" s="16"/>
      <c r="I360" s="16"/>
      <c r="J360" s="16"/>
      <c r="K360" s="16"/>
      <c r="L360" s="16"/>
      <c r="M360" s="16"/>
      <c r="N360" s="16"/>
    </row>
    <row r="361" spans="2:14" ht="20.25" x14ac:dyDescent="0.3">
      <c r="B361" s="16"/>
      <c r="C361" s="16"/>
      <c r="D361" s="16"/>
      <c r="E361" s="16"/>
      <c r="F361" s="16"/>
      <c r="G361" s="16"/>
      <c r="H361" s="16"/>
      <c r="I361" s="16"/>
      <c r="J361" s="16"/>
      <c r="K361" s="16"/>
      <c r="L361" s="16"/>
      <c r="M361" s="16"/>
      <c r="N361" s="16"/>
    </row>
    <row r="362" spans="2:14" ht="20.25" x14ac:dyDescent="0.3">
      <c r="B362" s="16"/>
      <c r="C362" s="16"/>
      <c r="D362" s="16"/>
      <c r="E362" s="16"/>
      <c r="F362" s="16"/>
      <c r="G362" s="16"/>
      <c r="H362" s="16"/>
      <c r="I362" s="16"/>
      <c r="J362" s="16"/>
      <c r="K362" s="16"/>
      <c r="L362" s="16"/>
      <c r="M362" s="16"/>
      <c r="N362" s="16"/>
    </row>
    <row r="363" spans="2:14" ht="20.25" x14ac:dyDescent="0.3">
      <c r="B363" s="16"/>
      <c r="C363" s="16"/>
      <c r="D363" s="16"/>
      <c r="E363" s="16"/>
      <c r="F363" s="16"/>
      <c r="G363" s="16"/>
      <c r="H363" s="16"/>
      <c r="I363" s="16"/>
      <c r="J363" s="16"/>
      <c r="K363" s="16"/>
      <c r="L363" s="16"/>
      <c r="M363" s="16"/>
      <c r="N363" s="16"/>
    </row>
    <row r="364" spans="2:14" ht="20.25" x14ac:dyDescent="0.3">
      <c r="B364" s="16"/>
      <c r="C364" s="16"/>
      <c r="D364" s="16"/>
      <c r="E364" s="16"/>
      <c r="F364" s="16"/>
      <c r="G364" s="16"/>
      <c r="H364" s="16"/>
      <c r="I364" s="16"/>
      <c r="J364" s="16"/>
      <c r="K364" s="16"/>
      <c r="L364" s="16"/>
      <c r="M364" s="16"/>
      <c r="N364" s="16"/>
    </row>
    <row r="365" spans="2:14" ht="20.25" x14ac:dyDescent="0.3">
      <c r="B365" s="16"/>
      <c r="C365" s="16"/>
      <c r="D365" s="16"/>
      <c r="E365" s="16"/>
      <c r="F365" s="16"/>
      <c r="G365" s="16"/>
      <c r="H365" s="16"/>
      <c r="I365" s="16"/>
      <c r="J365" s="16"/>
      <c r="K365" s="16"/>
      <c r="L365" s="16"/>
      <c r="M365" s="16"/>
      <c r="N365" s="16"/>
    </row>
    <row r="366" spans="2:14" ht="20.25" x14ac:dyDescent="0.3">
      <c r="B366" s="16"/>
      <c r="C366" s="16"/>
      <c r="D366" s="16"/>
      <c r="E366" s="16"/>
      <c r="F366" s="16"/>
      <c r="G366" s="16"/>
      <c r="H366" s="16"/>
      <c r="I366" s="16"/>
      <c r="J366" s="16"/>
      <c r="K366" s="16"/>
      <c r="L366" s="16"/>
      <c r="M366" s="16"/>
      <c r="N366" s="16"/>
    </row>
    <row r="367" spans="2:14" ht="20.25" x14ac:dyDescent="0.3">
      <c r="B367" s="16"/>
      <c r="C367" s="16"/>
      <c r="D367" s="16"/>
      <c r="E367" s="16"/>
      <c r="F367" s="16"/>
      <c r="G367" s="16"/>
      <c r="H367" s="16"/>
      <c r="I367" s="16"/>
      <c r="J367" s="16"/>
      <c r="K367" s="16"/>
      <c r="L367" s="16"/>
      <c r="M367" s="16"/>
      <c r="N367" s="16"/>
    </row>
    <row r="368" spans="2:14" ht="20.25" x14ac:dyDescent="0.3">
      <c r="B368" s="16"/>
      <c r="C368" s="16"/>
      <c r="D368" s="16"/>
      <c r="E368" s="16"/>
      <c r="F368" s="16"/>
      <c r="G368" s="16"/>
      <c r="H368" s="16"/>
      <c r="I368" s="16"/>
      <c r="J368" s="16"/>
      <c r="K368" s="16"/>
      <c r="L368" s="16"/>
      <c r="M368" s="16"/>
      <c r="N368" s="16"/>
    </row>
    <row r="369" spans="2:14" ht="20.25" x14ac:dyDescent="0.3">
      <c r="B369" s="16"/>
      <c r="C369" s="16"/>
      <c r="D369" s="16"/>
      <c r="E369" s="16"/>
      <c r="F369" s="16"/>
      <c r="G369" s="16"/>
      <c r="H369" s="16"/>
      <c r="I369" s="16"/>
      <c r="J369" s="16"/>
      <c r="K369" s="16"/>
      <c r="L369" s="16"/>
      <c r="M369" s="16"/>
      <c r="N369" s="16"/>
    </row>
    <row r="370" spans="2:14" ht="20.25" x14ac:dyDescent="0.3">
      <c r="B370" s="16"/>
      <c r="C370" s="16"/>
      <c r="D370" s="16"/>
      <c r="E370" s="16"/>
      <c r="F370" s="16"/>
      <c r="G370" s="16"/>
      <c r="H370" s="16"/>
      <c r="I370" s="16"/>
      <c r="J370" s="16"/>
      <c r="K370" s="16"/>
      <c r="L370" s="16"/>
      <c r="M370" s="16"/>
      <c r="N370" s="16"/>
    </row>
    <row r="371" spans="2:14" ht="20.25" x14ac:dyDescent="0.3">
      <c r="B371" s="16"/>
      <c r="C371" s="16"/>
      <c r="D371" s="16"/>
      <c r="E371" s="16"/>
      <c r="F371" s="16"/>
      <c r="G371" s="16"/>
      <c r="H371" s="16"/>
      <c r="I371" s="16"/>
      <c r="J371" s="16"/>
      <c r="K371" s="16"/>
      <c r="L371" s="16"/>
      <c r="M371" s="16"/>
      <c r="N371" s="16"/>
    </row>
    <row r="372" spans="2:14" ht="20.25" x14ac:dyDescent="0.3">
      <c r="B372" s="16"/>
      <c r="C372" s="16"/>
      <c r="D372" s="16"/>
      <c r="E372" s="16"/>
      <c r="F372" s="16"/>
      <c r="G372" s="16"/>
      <c r="H372" s="16"/>
      <c r="I372" s="16"/>
      <c r="J372" s="16"/>
      <c r="K372" s="16"/>
      <c r="L372" s="16"/>
      <c r="M372" s="16"/>
      <c r="N372" s="16"/>
    </row>
    <row r="373" spans="2:14" ht="20.25" x14ac:dyDescent="0.3">
      <c r="B373" s="16"/>
      <c r="C373" s="16"/>
      <c r="D373" s="16"/>
      <c r="E373" s="16"/>
      <c r="F373" s="16"/>
      <c r="G373" s="16"/>
      <c r="H373" s="16"/>
      <c r="I373" s="16"/>
      <c r="J373" s="16"/>
      <c r="K373" s="16"/>
      <c r="L373" s="16"/>
      <c r="M373" s="16"/>
      <c r="N373" s="16"/>
    </row>
    <row r="374" spans="2:14" ht="20.25" x14ac:dyDescent="0.3">
      <c r="B374" s="16"/>
      <c r="C374" s="16"/>
      <c r="D374" s="16"/>
      <c r="E374" s="16"/>
      <c r="F374" s="16"/>
      <c r="G374" s="16"/>
      <c r="H374" s="16"/>
      <c r="I374" s="16"/>
      <c r="J374" s="16"/>
      <c r="K374" s="16"/>
      <c r="L374" s="16"/>
      <c r="M374" s="16"/>
      <c r="N374" s="16"/>
    </row>
    <row r="375" spans="2:14" ht="20.25" x14ac:dyDescent="0.3">
      <c r="B375" s="16"/>
      <c r="C375" s="16"/>
      <c r="D375" s="16"/>
      <c r="E375" s="16"/>
      <c r="F375" s="16"/>
      <c r="G375" s="16"/>
      <c r="H375" s="16"/>
      <c r="I375" s="16"/>
      <c r="J375" s="16"/>
      <c r="K375" s="16"/>
      <c r="L375" s="16"/>
      <c r="M375" s="16"/>
      <c r="N375" s="16"/>
    </row>
    <row r="376" spans="2:14" ht="20.25" x14ac:dyDescent="0.3">
      <c r="B376" s="16"/>
      <c r="C376" s="16"/>
      <c r="D376" s="16"/>
      <c r="E376" s="16"/>
      <c r="F376" s="16"/>
      <c r="G376" s="16"/>
      <c r="H376" s="16"/>
      <c r="I376" s="16"/>
      <c r="J376" s="16"/>
      <c r="K376" s="16"/>
      <c r="L376" s="16"/>
      <c r="M376" s="16"/>
      <c r="N376" s="16"/>
    </row>
    <row r="377" spans="2:14" ht="20.25" x14ac:dyDescent="0.3">
      <c r="B377" s="16"/>
      <c r="C377" s="16"/>
      <c r="D377" s="16"/>
      <c r="E377" s="16"/>
      <c r="F377" s="16"/>
      <c r="G377" s="16"/>
      <c r="H377" s="16"/>
      <c r="I377" s="16"/>
      <c r="J377" s="16"/>
      <c r="K377" s="16"/>
      <c r="L377" s="16"/>
      <c r="M377" s="16"/>
      <c r="N377" s="16"/>
    </row>
    <row r="378" spans="2:14" ht="20.25" x14ac:dyDescent="0.3">
      <c r="B378" s="16"/>
      <c r="C378" s="16"/>
      <c r="D378" s="16"/>
      <c r="E378" s="16"/>
      <c r="F378" s="16"/>
      <c r="G378" s="16"/>
      <c r="H378" s="16"/>
      <c r="I378" s="16"/>
      <c r="J378" s="16"/>
      <c r="K378" s="16"/>
      <c r="L378" s="16"/>
      <c r="M378" s="16"/>
      <c r="N378" s="16"/>
    </row>
    <row r="379" spans="2:14" ht="20.25" x14ac:dyDescent="0.3">
      <c r="B379" s="16"/>
      <c r="C379" s="16"/>
      <c r="D379" s="16"/>
      <c r="E379" s="16"/>
      <c r="F379" s="16"/>
      <c r="G379" s="16"/>
      <c r="H379" s="16"/>
      <c r="I379" s="16"/>
      <c r="J379" s="16"/>
      <c r="K379" s="16"/>
      <c r="L379" s="16"/>
      <c r="M379" s="16"/>
      <c r="N379" s="16"/>
    </row>
    <row r="380" spans="2:14" ht="20.25" x14ac:dyDescent="0.3">
      <c r="B380" s="16"/>
      <c r="C380" s="16"/>
      <c r="D380" s="16"/>
      <c r="E380" s="16"/>
      <c r="F380" s="16"/>
      <c r="G380" s="16"/>
      <c r="H380" s="16"/>
      <c r="I380" s="16"/>
      <c r="J380" s="16"/>
      <c r="K380" s="16"/>
      <c r="L380" s="16"/>
      <c r="M380" s="16"/>
      <c r="N380" s="16"/>
    </row>
    <row r="381" spans="2:14" ht="20.25" x14ac:dyDescent="0.3">
      <c r="B381" s="16"/>
      <c r="C381" s="16"/>
      <c r="D381" s="16"/>
      <c r="E381" s="16"/>
      <c r="F381" s="16"/>
      <c r="G381" s="16"/>
      <c r="H381" s="16"/>
      <c r="I381" s="16"/>
      <c r="J381" s="16"/>
      <c r="K381" s="16"/>
      <c r="L381" s="16"/>
      <c r="M381" s="16"/>
      <c r="N381" s="16"/>
    </row>
    <row r="382" spans="2:14" ht="20.25" x14ac:dyDescent="0.3">
      <c r="B382" s="16"/>
      <c r="C382" s="16"/>
      <c r="D382" s="16"/>
      <c r="E382" s="16"/>
      <c r="F382" s="16"/>
      <c r="G382" s="16"/>
      <c r="H382" s="16"/>
      <c r="I382" s="16"/>
      <c r="J382" s="16"/>
      <c r="K382" s="16"/>
      <c r="L382" s="16"/>
      <c r="M382" s="16"/>
      <c r="N382" s="16"/>
    </row>
    <row r="383" spans="2:14" ht="20.25" x14ac:dyDescent="0.3">
      <c r="B383" s="16"/>
      <c r="C383" s="16"/>
      <c r="D383" s="16"/>
      <c r="E383" s="16"/>
      <c r="F383" s="16"/>
      <c r="G383" s="16"/>
      <c r="H383" s="16"/>
      <c r="I383" s="16"/>
      <c r="J383" s="16"/>
      <c r="K383" s="16"/>
      <c r="L383" s="16"/>
      <c r="M383" s="16"/>
      <c r="N383" s="16"/>
    </row>
    <row r="384" spans="2:14" ht="20.25" x14ac:dyDescent="0.3">
      <c r="B384" s="16"/>
      <c r="C384" s="16"/>
      <c r="D384" s="16"/>
      <c r="E384" s="16"/>
      <c r="F384" s="16"/>
      <c r="G384" s="16"/>
      <c r="H384" s="16"/>
      <c r="I384" s="16"/>
      <c r="J384" s="16"/>
      <c r="K384" s="16"/>
      <c r="L384" s="16"/>
      <c r="M384" s="16"/>
      <c r="N384" s="16"/>
    </row>
    <row r="385" spans="2:14" ht="20.25" x14ac:dyDescent="0.3">
      <c r="B385" s="16"/>
      <c r="C385" s="16"/>
      <c r="D385" s="16"/>
      <c r="E385" s="16"/>
      <c r="F385" s="16"/>
      <c r="G385" s="16"/>
      <c r="H385" s="16"/>
      <c r="I385" s="16"/>
      <c r="J385" s="16"/>
      <c r="K385" s="16"/>
      <c r="L385" s="16"/>
      <c r="M385" s="16"/>
      <c r="N385" s="16"/>
    </row>
    <row r="386" spans="2:14" ht="20.25" x14ac:dyDescent="0.3">
      <c r="B386" s="16"/>
      <c r="C386" s="16"/>
      <c r="D386" s="16"/>
      <c r="E386" s="16"/>
      <c r="F386" s="16"/>
      <c r="G386" s="16"/>
      <c r="H386" s="16"/>
      <c r="I386" s="16"/>
      <c r="J386" s="16"/>
      <c r="K386" s="16"/>
      <c r="L386" s="16"/>
      <c r="M386" s="16"/>
      <c r="N386" s="16"/>
    </row>
    <row r="387" spans="2:14" ht="20.25" x14ac:dyDescent="0.3">
      <c r="B387" s="16"/>
      <c r="C387" s="16"/>
      <c r="D387" s="16"/>
      <c r="E387" s="16"/>
      <c r="F387" s="16"/>
      <c r="G387" s="16"/>
      <c r="H387" s="16"/>
      <c r="I387" s="16"/>
      <c r="J387" s="16"/>
      <c r="K387" s="16"/>
      <c r="L387" s="16"/>
      <c r="M387" s="16"/>
      <c r="N387" s="16"/>
    </row>
    <row r="388" spans="2:14" ht="20.25" x14ac:dyDescent="0.3">
      <c r="B388" s="16"/>
      <c r="C388" s="16"/>
      <c r="D388" s="16"/>
      <c r="E388" s="16"/>
      <c r="F388" s="16"/>
      <c r="G388" s="16"/>
      <c r="H388" s="16"/>
      <c r="I388" s="16"/>
      <c r="J388" s="16"/>
      <c r="K388" s="16"/>
      <c r="L388" s="16"/>
      <c r="M388" s="16"/>
      <c r="N388" s="16"/>
    </row>
    <row r="389" spans="2:14" ht="20.25" x14ac:dyDescent="0.3">
      <c r="B389" s="16"/>
      <c r="C389" s="16"/>
      <c r="D389" s="16"/>
      <c r="E389" s="16"/>
      <c r="F389" s="16"/>
      <c r="G389" s="16"/>
      <c r="H389" s="16"/>
      <c r="I389" s="16"/>
      <c r="J389" s="16"/>
      <c r="K389" s="16"/>
      <c r="L389" s="16"/>
      <c r="M389" s="16"/>
      <c r="N389" s="16"/>
    </row>
    <row r="390" spans="2:14" ht="20.25" x14ac:dyDescent="0.3">
      <c r="B390" s="16"/>
      <c r="C390" s="16"/>
      <c r="D390" s="16"/>
      <c r="E390" s="16"/>
      <c r="F390" s="16"/>
      <c r="G390" s="16"/>
      <c r="H390" s="16"/>
      <c r="I390" s="16"/>
      <c r="J390" s="16"/>
      <c r="K390" s="16"/>
      <c r="L390" s="16"/>
      <c r="M390" s="16"/>
      <c r="N390" s="16"/>
    </row>
    <row r="391" spans="2:14" ht="20.25" x14ac:dyDescent="0.3">
      <c r="B391" s="16"/>
      <c r="C391" s="16"/>
      <c r="D391" s="16"/>
      <c r="E391" s="16"/>
      <c r="F391" s="16"/>
      <c r="G391" s="16"/>
      <c r="H391" s="16"/>
      <c r="I391" s="16"/>
      <c r="J391" s="16"/>
      <c r="K391" s="16"/>
      <c r="L391" s="16"/>
      <c r="M391" s="16"/>
      <c r="N391" s="16"/>
    </row>
    <row r="392" spans="2:14" ht="20.25" x14ac:dyDescent="0.3">
      <c r="B392" s="16"/>
      <c r="C392" s="16"/>
      <c r="D392" s="16"/>
      <c r="E392" s="16"/>
      <c r="F392" s="16"/>
      <c r="G392" s="16"/>
      <c r="H392" s="16"/>
      <c r="I392" s="16"/>
      <c r="J392" s="16"/>
      <c r="K392" s="16"/>
      <c r="L392" s="16"/>
      <c r="M392" s="16"/>
      <c r="N392" s="16"/>
    </row>
    <row r="393" spans="2:14" ht="20.25" x14ac:dyDescent="0.3">
      <c r="B393" s="16"/>
      <c r="C393" s="16"/>
      <c r="D393" s="16"/>
      <c r="E393" s="16"/>
      <c r="F393" s="16"/>
      <c r="G393" s="16"/>
      <c r="H393" s="16"/>
      <c r="I393" s="16"/>
      <c r="J393" s="16"/>
      <c r="K393" s="16"/>
      <c r="L393" s="16"/>
      <c r="M393" s="16"/>
      <c r="N393" s="16"/>
    </row>
    <row r="394" spans="2:14" ht="20.25" x14ac:dyDescent="0.3">
      <c r="B394" s="16"/>
      <c r="C394" s="16"/>
      <c r="D394" s="16"/>
      <c r="E394" s="16"/>
      <c r="F394" s="16"/>
      <c r="G394" s="16"/>
      <c r="H394" s="16"/>
      <c r="I394" s="16"/>
      <c r="J394" s="16"/>
      <c r="K394" s="16"/>
      <c r="L394" s="16"/>
      <c r="M394" s="16"/>
      <c r="N394" s="16"/>
    </row>
    <row r="395" spans="2:14" ht="20.25" x14ac:dyDescent="0.3">
      <c r="B395" s="16"/>
      <c r="C395" s="16"/>
      <c r="D395" s="16"/>
      <c r="E395" s="16"/>
      <c r="F395" s="16"/>
      <c r="G395" s="16"/>
      <c r="H395" s="16"/>
      <c r="I395" s="16"/>
      <c r="J395" s="16"/>
      <c r="K395" s="16"/>
      <c r="L395" s="16"/>
      <c r="M395" s="16"/>
      <c r="N395" s="16"/>
    </row>
    <row r="396" spans="2:14" ht="20.25" x14ac:dyDescent="0.3">
      <c r="B396" s="16"/>
      <c r="C396" s="16"/>
      <c r="D396" s="16"/>
      <c r="E396" s="16"/>
      <c r="F396" s="16"/>
      <c r="G396" s="16"/>
      <c r="H396" s="16"/>
      <c r="I396" s="16"/>
      <c r="J396" s="16"/>
      <c r="K396" s="16"/>
      <c r="L396" s="16"/>
      <c r="M396" s="16"/>
      <c r="N396" s="16"/>
    </row>
    <row r="397" spans="2:14" ht="20.25" x14ac:dyDescent="0.3">
      <c r="B397" s="16"/>
      <c r="C397" s="16"/>
      <c r="D397" s="16"/>
      <c r="E397" s="16"/>
      <c r="F397" s="16"/>
      <c r="G397" s="16"/>
      <c r="H397" s="16"/>
      <c r="I397" s="16"/>
      <c r="J397" s="16"/>
      <c r="K397" s="16"/>
      <c r="L397" s="16"/>
      <c r="M397" s="16"/>
      <c r="N397" s="16"/>
    </row>
    <row r="398" spans="2:14" ht="20.25" x14ac:dyDescent="0.3">
      <c r="B398" s="16"/>
      <c r="C398" s="16"/>
      <c r="D398" s="16"/>
      <c r="E398" s="16"/>
      <c r="F398" s="16"/>
      <c r="G398" s="16"/>
      <c r="H398" s="16"/>
      <c r="I398" s="16"/>
      <c r="J398" s="16"/>
      <c r="K398" s="16"/>
      <c r="L398" s="16"/>
      <c r="M398" s="16"/>
      <c r="N398" s="16"/>
    </row>
    <row r="399" spans="2:14" ht="20.25" x14ac:dyDescent="0.3">
      <c r="B399" s="16"/>
      <c r="C399" s="16"/>
      <c r="D399" s="16"/>
      <c r="E399" s="16"/>
      <c r="F399" s="16"/>
      <c r="G399" s="16"/>
      <c r="H399" s="16"/>
      <c r="I399" s="16"/>
      <c r="J399" s="16"/>
      <c r="K399" s="16"/>
      <c r="L399" s="16"/>
      <c r="M399" s="16"/>
      <c r="N399" s="16"/>
    </row>
    <row r="400" spans="2:14" ht="20.25" x14ac:dyDescent="0.3">
      <c r="B400" s="16"/>
      <c r="C400" s="16"/>
      <c r="D400" s="16"/>
      <c r="E400" s="16"/>
      <c r="F400" s="16"/>
      <c r="G400" s="16"/>
      <c r="H400" s="16"/>
      <c r="I400" s="16"/>
      <c r="J400" s="16"/>
      <c r="K400" s="16"/>
      <c r="L400" s="16"/>
      <c r="M400" s="16"/>
      <c r="N400" s="16"/>
    </row>
    <row r="401" spans="2:14" ht="20.25" x14ac:dyDescent="0.3">
      <c r="B401" s="16"/>
      <c r="C401" s="16"/>
      <c r="D401" s="16"/>
      <c r="E401" s="16"/>
      <c r="F401" s="16"/>
      <c r="G401" s="16"/>
      <c r="H401" s="16"/>
      <c r="I401" s="16"/>
      <c r="J401" s="16"/>
      <c r="K401" s="16"/>
      <c r="L401" s="16"/>
      <c r="M401" s="16"/>
      <c r="N401" s="16"/>
    </row>
    <row r="402" spans="2:14" ht="20.25" x14ac:dyDescent="0.3">
      <c r="B402" s="16"/>
      <c r="C402" s="16"/>
      <c r="D402" s="16"/>
      <c r="E402" s="16"/>
      <c r="F402" s="16"/>
      <c r="G402" s="16"/>
      <c r="H402" s="16"/>
      <c r="I402" s="16"/>
      <c r="J402" s="16"/>
      <c r="K402" s="16"/>
      <c r="L402" s="16"/>
      <c r="M402" s="16"/>
      <c r="N402" s="16"/>
    </row>
    <row r="403" spans="2:14" ht="20.25" x14ac:dyDescent="0.3">
      <c r="B403" s="16"/>
      <c r="C403" s="16"/>
      <c r="D403" s="16"/>
      <c r="E403" s="16"/>
      <c r="F403" s="16"/>
      <c r="G403" s="16"/>
      <c r="H403" s="16"/>
      <c r="I403" s="16"/>
      <c r="J403" s="16"/>
      <c r="K403" s="16"/>
      <c r="L403" s="16"/>
      <c r="M403" s="16"/>
      <c r="N403" s="16"/>
    </row>
    <row r="404" spans="2:14" ht="20.25" x14ac:dyDescent="0.3">
      <c r="B404" s="16"/>
      <c r="C404" s="16"/>
      <c r="D404" s="16"/>
      <c r="E404" s="16"/>
      <c r="F404" s="16"/>
      <c r="G404" s="16"/>
      <c r="H404" s="16"/>
      <c r="I404" s="16"/>
      <c r="J404" s="16"/>
      <c r="K404" s="16"/>
      <c r="L404" s="16"/>
      <c r="M404" s="16"/>
      <c r="N404" s="16"/>
    </row>
    <row r="405" spans="2:14" ht="20.25" x14ac:dyDescent="0.3">
      <c r="B405" s="16"/>
      <c r="C405" s="16"/>
      <c r="D405" s="16"/>
      <c r="E405" s="16"/>
      <c r="F405" s="16"/>
      <c r="G405" s="16"/>
      <c r="H405" s="16"/>
      <c r="I405" s="16"/>
      <c r="J405" s="16"/>
      <c r="K405" s="16"/>
      <c r="L405" s="16"/>
      <c r="M405" s="16"/>
      <c r="N405" s="16"/>
    </row>
    <row r="406" spans="2:14" ht="20.25" x14ac:dyDescent="0.3">
      <c r="B406" s="16"/>
      <c r="C406" s="16"/>
      <c r="D406" s="16"/>
      <c r="E406" s="16"/>
      <c r="F406" s="16"/>
      <c r="G406" s="16"/>
      <c r="H406" s="16"/>
      <c r="I406" s="16"/>
      <c r="J406" s="16"/>
      <c r="K406" s="16"/>
      <c r="L406" s="16"/>
      <c r="M406" s="16"/>
      <c r="N406" s="16"/>
    </row>
    <row r="407" spans="2:14" ht="20.25" x14ac:dyDescent="0.3">
      <c r="B407" s="16"/>
      <c r="C407" s="16"/>
      <c r="D407" s="16"/>
      <c r="E407" s="16"/>
      <c r="F407" s="16"/>
      <c r="G407" s="16"/>
      <c r="H407" s="16"/>
      <c r="I407" s="16"/>
      <c r="J407" s="16"/>
      <c r="K407" s="16"/>
      <c r="L407" s="16"/>
      <c r="M407" s="16"/>
      <c r="N407" s="16"/>
    </row>
    <row r="408" spans="2:14" ht="20.25" x14ac:dyDescent="0.3">
      <c r="B408" s="16"/>
      <c r="C408" s="16"/>
      <c r="D408" s="16"/>
      <c r="E408" s="16"/>
      <c r="F408" s="16"/>
      <c r="G408" s="16"/>
      <c r="H408" s="16"/>
      <c r="I408" s="16"/>
      <c r="J408" s="16"/>
      <c r="K408" s="16"/>
      <c r="L408" s="16"/>
      <c r="M408" s="16"/>
      <c r="N408" s="16"/>
    </row>
    <row r="409" spans="2:14" ht="20.25" x14ac:dyDescent="0.3">
      <c r="B409" s="16"/>
      <c r="C409" s="16"/>
      <c r="D409" s="16"/>
      <c r="E409" s="16"/>
      <c r="F409" s="16"/>
      <c r="G409" s="16"/>
      <c r="H409" s="16"/>
      <c r="I409" s="16"/>
      <c r="J409" s="16"/>
      <c r="K409" s="16"/>
      <c r="L409" s="16"/>
      <c r="M409" s="16"/>
      <c r="N409" s="16"/>
    </row>
    <row r="410" spans="2:14" ht="20.25" x14ac:dyDescent="0.3">
      <c r="B410" s="16"/>
      <c r="C410" s="16"/>
      <c r="D410" s="16"/>
      <c r="E410" s="16"/>
      <c r="F410" s="16"/>
      <c r="G410" s="16"/>
      <c r="H410" s="16"/>
      <c r="I410" s="16"/>
      <c r="J410" s="16"/>
      <c r="K410" s="16"/>
      <c r="L410" s="16"/>
      <c r="M410" s="16"/>
      <c r="N410" s="16"/>
    </row>
    <row r="411" spans="2:14" ht="20.25" x14ac:dyDescent="0.3">
      <c r="B411" s="16"/>
      <c r="C411" s="16"/>
      <c r="D411" s="16"/>
      <c r="E411" s="16"/>
      <c r="F411" s="16"/>
      <c r="G411" s="16"/>
      <c r="H411" s="16"/>
      <c r="I411" s="16"/>
      <c r="J411" s="16"/>
      <c r="K411" s="16"/>
      <c r="L411" s="16"/>
      <c r="M411" s="16"/>
      <c r="N411" s="16"/>
    </row>
    <row r="412" spans="2:14" ht="20.25" x14ac:dyDescent="0.3">
      <c r="B412" s="16"/>
      <c r="C412" s="16"/>
      <c r="D412" s="16"/>
      <c r="E412" s="16"/>
      <c r="F412" s="16"/>
      <c r="G412" s="16"/>
      <c r="H412" s="16"/>
      <c r="I412" s="16"/>
      <c r="J412" s="16"/>
      <c r="K412" s="16"/>
      <c r="L412" s="16"/>
      <c r="M412" s="16"/>
      <c r="N412" s="16"/>
    </row>
    <row r="413" spans="2:14" ht="20.25" x14ac:dyDescent="0.3">
      <c r="B413" s="16"/>
      <c r="C413" s="16"/>
      <c r="D413" s="16"/>
      <c r="E413" s="16"/>
      <c r="F413" s="16"/>
      <c r="G413" s="16"/>
      <c r="H413" s="16"/>
      <c r="I413" s="16"/>
      <c r="J413" s="16"/>
      <c r="K413" s="16"/>
      <c r="L413" s="16"/>
      <c r="M413" s="16"/>
      <c r="N413" s="16"/>
    </row>
    <row r="414" spans="2:14" ht="20.25" x14ac:dyDescent="0.3">
      <c r="B414" s="16"/>
      <c r="C414" s="16"/>
      <c r="D414" s="16"/>
      <c r="E414" s="16"/>
      <c r="F414" s="16"/>
      <c r="G414" s="16"/>
      <c r="H414" s="16"/>
      <c r="I414" s="16"/>
      <c r="J414" s="16"/>
      <c r="K414" s="16"/>
      <c r="L414" s="16"/>
      <c r="M414" s="16"/>
      <c r="N414" s="16"/>
    </row>
    <row r="415" spans="2:14" ht="20.25" x14ac:dyDescent="0.3">
      <c r="B415" s="16"/>
      <c r="C415" s="16"/>
      <c r="D415" s="16"/>
      <c r="E415" s="16"/>
      <c r="F415" s="16"/>
      <c r="G415" s="16"/>
      <c r="H415" s="16"/>
      <c r="I415" s="16"/>
      <c r="J415" s="16"/>
      <c r="K415" s="16"/>
      <c r="L415" s="16"/>
      <c r="M415" s="16"/>
      <c r="N415" s="16"/>
    </row>
    <row r="416" spans="2:14" ht="20.25" x14ac:dyDescent="0.3">
      <c r="B416" s="16"/>
      <c r="C416" s="16"/>
      <c r="D416" s="16"/>
      <c r="E416" s="16"/>
      <c r="F416" s="16"/>
      <c r="G416" s="16"/>
      <c r="H416" s="16"/>
      <c r="I416" s="16"/>
      <c r="J416" s="16"/>
      <c r="K416" s="16"/>
      <c r="L416" s="16"/>
      <c r="M416" s="16"/>
      <c r="N416" s="16"/>
    </row>
    <row r="417" spans="2:14" ht="20.25" x14ac:dyDescent="0.3">
      <c r="B417" s="16"/>
      <c r="C417" s="16"/>
      <c r="D417" s="16"/>
      <c r="E417" s="16"/>
      <c r="F417" s="16"/>
      <c r="G417" s="16"/>
      <c r="H417" s="16"/>
      <c r="I417" s="16"/>
      <c r="J417" s="16"/>
      <c r="K417" s="16"/>
      <c r="L417" s="16"/>
      <c r="M417" s="16"/>
      <c r="N417" s="16"/>
    </row>
    <row r="418" spans="2:14" ht="20.25" x14ac:dyDescent="0.3">
      <c r="B418" s="16"/>
      <c r="C418" s="16"/>
      <c r="D418" s="16"/>
      <c r="E418" s="16"/>
      <c r="F418" s="16"/>
      <c r="G418" s="16"/>
      <c r="H418" s="16"/>
      <c r="I418" s="16"/>
      <c r="J418" s="16"/>
      <c r="K418" s="16"/>
      <c r="L418" s="16"/>
      <c r="M418" s="16"/>
      <c r="N418" s="16"/>
    </row>
    <row r="419" spans="2:14" ht="20.25" x14ac:dyDescent="0.3">
      <c r="B419" s="16"/>
      <c r="C419" s="16"/>
      <c r="D419" s="16"/>
      <c r="E419" s="16"/>
      <c r="F419" s="16"/>
      <c r="G419" s="16"/>
      <c r="H419" s="16"/>
      <c r="I419" s="16"/>
      <c r="J419" s="16"/>
      <c r="K419" s="16"/>
      <c r="L419" s="16"/>
      <c r="M419" s="16"/>
      <c r="N419" s="16"/>
    </row>
    <row r="420" spans="2:14" ht="20.25" x14ac:dyDescent="0.3">
      <c r="B420" s="16"/>
      <c r="C420" s="16"/>
      <c r="D420" s="16"/>
      <c r="E420" s="16"/>
      <c r="F420" s="16"/>
      <c r="G420" s="16"/>
      <c r="H420" s="16"/>
      <c r="I420" s="16"/>
      <c r="J420" s="16"/>
      <c r="K420" s="16"/>
      <c r="L420" s="16"/>
      <c r="M420" s="16"/>
      <c r="N420" s="16"/>
    </row>
    <row r="421" spans="2:14" ht="20.25" x14ac:dyDescent="0.3">
      <c r="B421" s="16"/>
      <c r="C421" s="16"/>
      <c r="D421" s="16"/>
      <c r="E421" s="16"/>
      <c r="F421" s="16"/>
      <c r="G421" s="16"/>
      <c r="H421" s="16"/>
      <c r="I421" s="16"/>
      <c r="J421" s="16"/>
      <c r="K421" s="16"/>
      <c r="L421" s="16"/>
      <c r="M421" s="16"/>
      <c r="N421" s="16"/>
    </row>
    <row r="422" spans="2:14" ht="20.25" x14ac:dyDescent="0.3">
      <c r="B422" s="16"/>
      <c r="C422" s="16"/>
      <c r="D422" s="16"/>
      <c r="E422" s="16"/>
      <c r="F422" s="16"/>
      <c r="G422" s="16"/>
      <c r="H422" s="16"/>
      <c r="I422" s="16"/>
      <c r="J422" s="16"/>
      <c r="K422" s="16"/>
      <c r="L422" s="16"/>
      <c r="M422" s="16"/>
      <c r="N422" s="16"/>
    </row>
    <row r="423" spans="2:14" ht="20.25" x14ac:dyDescent="0.3">
      <c r="B423" s="16"/>
      <c r="C423" s="16"/>
      <c r="D423" s="16"/>
      <c r="E423" s="16"/>
      <c r="F423" s="16"/>
      <c r="G423" s="16"/>
      <c r="H423" s="16"/>
      <c r="I423" s="16"/>
      <c r="J423" s="16"/>
      <c r="K423" s="16"/>
      <c r="L423" s="16"/>
      <c r="M423" s="16"/>
      <c r="N423" s="16"/>
    </row>
    <row r="424" spans="2:14" ht="20.25" x14ac:dyDescent="0.3">
      <c r="B424" s="16"/>
      <c r="C424" s="16"/>
      <c r="D424" s="16"/>
      <c r="E424" s="16"/>
      <c r="F424" s="16"/>
      <c r="G424" s="16"/>
      <c r="H424" s="16"/>
      <c r="I424" s="16"/>
      <c r="J424" s="16"/>
      <c r="K424" s="16"/>
      <c r="L424" s="16"/>
      <c r="M424" s="16"/>
      <c r="N424" s="16"/>
    </row>
    <row r="425" spans="2:14" ht="20.25" x14ac:dyDescent="0.3">
      <c r="B425" s="16"/>
      <c r="C425" s="16"/>
      <c r="D425" s="16"/>
      <c r="E425" s="16"/>
      <c r="F425" s="16"/>
      <c r="G425" s="16"/>
      <c r="H425" s="16"/>
      <c r="I425" s="16"/>
      <c r="J425" s="16"/>
      <c r="K425" s="16"/>
      <c r="L425" s="16"/>
      <c r="M425" s="16"/>
      <c r="N425" s="16"/>
    </row>
    <row r="426" spans="2:14" ht="20.25" x14ac:dyDescent="0.3">
      <c r="B426" s="16"/>
      <c r="C426" s="16"/>
      <c r="D426" s="16"/>
      <c r="E426" s="16"/>
      <c r="F426" s="16"/>
      <c r="G426" s="16"/>
      <c r="H426" s="16"/>
      <c r="I426" s="16"/>
      <c r="J426" s="16"/>
      <c r="K426" s="16"/>
      <c r="L426" s="16"/>
      <c r="M426" s="16"/>
      <c r="N426" s="16"/>
    </row>
    <row r="427" spans="2:14" ht="20.25" x14ac:dyDescent="0.3">
      <c r="B427" s="16"/>
      <c r="C427" s="16"/>
      <c r="D427" s="16"/>
      <c r="E427" s="16"/>
      <c r="F427" s="16"/>
      <c r="G427" s="16"/>
      <c r="H427" s="16"/>
      <c r="I427" s="16"/>
      <c r="J427" s="16"/>
      <c r="K427" s="16"/>
      <c r="L427" s="16"/>
      <c r="M427" s="16"/>
      <c r="N427" s="16"/>
    </row>
    <row r="428" spans="2:14" ht="20.25" x14ac:dyDescent="0.3">
      <c r="B428" s="16"/>
      <c r="C428" s="16"/>
      <c r="D428" s="16"/>
      <c r="E428" s="16"/>
      <c r="F428" s="16"/>
      <c r="G428" s="16"/>
      <c r="H428" s="16"/>
      <c r="I428" s="16"/>
      <c r="J428" s="16"/>
      <c r="K428" s="16"/>
      <c r="L428" s="16"/>
      <c r="M428" s="16"/>
      <c r="N428" s="16"/>
    </row>
    <row r="429" spans="2:14" ht="20.25" x14ac:dyDescent="0.3">
      <c r="B429" s="16"/>
      <c r="C429" s="16"/>
      <c r="D429" s="16"/>
      <c r="E429" s="16"/>
      <c r="F429" s="16"/>
      <c r="G429" s="16"/>
      <c r="H429" s="16"/>
      <c r="I429" s="16"/>
      <c r="J429" s="16"/>
      <c r="K429" s="16"/>
      <c r="L429" s="16"/>
      <c r="M429" s="16"/>
      <c r="N429" s="16"/>
    </row>
    <row r="430" spans="2:14" ht="20.25" x14ac:dyDescent="0.3">
      <c r="B430" s="16"/>
      <c r="C430" s="16"/>
      <c r="D430" s="16"/>
      <c r="E430" s="16"/>
      <c r="F430" s="16"/>
      <c r="G430" s="16"/>
      <c r="H430" s="16"/>
      <c r="I430" s="16"/>
      <c r="J430" s="16"/>
      <c r="K430" s="16"/>
      <c r="L430" s="16"/>
      <c r="M430" s="16"/>
      <c r="N430" s="16"/>
    </row>
    <row r="431" spans="2:14" ht="20.25" x14ac:dyDescent="0.3">
      <c r="B431" s="16"/>
      <c r="C431" s="16"/>
      <c r="D431" s="16"/>
      <c r="E431" s="16"/>
      <c r="F431" s="16"/>
      <c r="G431" s="16"/>
      <c r="H431" s="16"/>
      <c r="I431" s="16"/>
      <c r="J431" s="16"/>
      <c r="K431" s="16"/>
      <c r="L431" s="16"/>
      <c r="M431" s="16"/>
      <c r="N431" s="16"/>
    </row>
    <row r="432" spans="2:14" ht="20.25" x14ac:dyDescent="0.3">
      <c r="B432" s="16"/>
      <c r="C432" s="16"/>
      <c r="D432" s="16"/>
      <c r="E432" s="16"/>
      <c r="F432" s="16"/>
      <c r="G432" s="16"/>
      <c r="H432" s="16"/>
      <c r="I432" s="16"/>
      <c r="J432" s="16"/>
      <c r="K432" s="16"/>
      <c r="L432" s="16"/>
      <c r="M432" s="16"/>
      <c r="N432" s="16"/>
    </row>
    <row r="433" spans="2:14" ht="20.25" x14ac:dyDescent="0.3">
      <c r="B433" s="16"/>
      <c r="C433" s="16"/>
      <c r="D433" s="16"/>
      <c r="E433" s="16"/>
      <c r="F433" s="16"/>
      <c r="G433" s="16"/>
      <c r="H433" s="16"/>
      <c r="I433" s="16"/>
      <c r="J433" s="16"/>
      <c r="K433" s="16"/>
      <c r="L433" s="16"/>
      <c r="M433" s="16"/>
      <c r="N433" s="16"/>
    </row>
    <row r="434" spans="2:14" ht="20.25" x14ac:dyDescent="0.3">
      <c r="B434" s="16"/>
      <c r="C434" s="16"/>
      <c r="D434" s="16"/>
      <c r="E434" s="16"/>
      <c r="F434" s="16"/>
      <c r="G434" s="16"/>
      <c r="H434" s="16"/>
      <c r="I434" s="16"/>
      <c r="J434" s="16"/>
      <c r="K434" s="16"/>
      <c r="L434" s="16"/>
      <c r="M434" s="16"/>
      <c r="N434" s="16"/>
    </row>
    <row r="435" spans="2:14" ht="20.25" x14ac:dyDescent="0.3">
      <c r="B435" s="16"/>
      <c r="C435" s="16"/>
      <c r="D435" s="16"/>
      <c r="E435" s="16"/>
      <c r="F435" s="16"/>
      <c r="G435" s="16"/>
      <c r="H435" s="16"/>
      <c r="I435" s="16"/>
      <c r="J435" s="16"/>
      <c r="K435" s="16"/>
      <c r="L435" s="16"/>
      <c r="M435" s="16"/>
      <c r="N435" s="16"/>
    </row>
    <row r="436" spans="2:14" ht="20.25" x14ac:dyDescent="0.3">
      <c r="B436" s="16"/>
      <c r="C436" s="16"/>
      <c r="D436" s="16"/>
      <c r="E436" s="16"/>
      <c r="F436" s="16"/>
      <c r="G436" s="16"/>
      <c r="H436" s="16"/>
      <c r="I436" s="16"/>
      <c r="J436" s="16"/>
      <c r="K436" s="16"/>
      <c r="L436" s="16"/>
      <c r="M436" s="16"/>
      <c r="N436" s="16"/>
    </row>
    <row r="437" spans="2:14" ht="20.25" x14ac:dyDescent="0.3">
      <c r="B437" s="16"/>
      <c r="C437" s="16"/>
      <c r="D437" s="16"/>
      <c r="E437" s="16"/>
      <c r="F437" s="16"/>
      <c r="G437" s="16"/>
      <c r="H437" s="16"/>
      <c r="I437" s="16"/>
      <c r="J437" s="16"/>
      <c r="K437" s="16"/>
      <c r="L437" s="16"/>
      <c r="M437" s="16"/>
      <c r="N437" s="16"/>
    </row>
    <row r="438" spans="2:14" ht="20.25" x14ac:dyDescent="0.3">
      <c r="B438" s="16"/>
      <c r="C438" s="16"/>
      <c r="D438" s="16"/>
      <c r="E438" s="16"/>
      <c r="F438" s="16"/>
      <c r="G438" s="16"/>
      <c r="H438" s="16"/>
      <c r="I438" s="16"/>
      <c r="J438" s="16"/>
      <c r="K438" s="16"/>
      <c r="L438" s="16"/>
      <c r="M438" s="16"/>
      <c r="N438" s="16"/>
    </row>
    <row r="439" spans="2:14" ht="20.25" x14ac:dyDescent="0.3">
      <c r="B439" s="16"/>
      <c r="C439" s="16"/>
      <c r="D439" s="16"/>
      <c r="E439" s="16"/>
      <c r="F439" s="16"/>
      <c r="G439" s="16"/>
      <c r="H439" s="16"/>
      <c r="I439" s="16"/>
      <c r="J439" s="16"/>
      <c r="K439" s="16"/>
      <c r="L439" s="16"/>
      <c r="M439" s="16"/>
      <c r="N439" s="16"/>
    </row>
    <row r="440" spans="2:14" ht="20.25" x14ac:dyDescent="0.3">
      <c r="B440" s="16"/>
      <c r="C440" s="16"/>
      <c r="D440" s="16"/>
      <c r="E440" s="16"/>
      <c r="F440" s="16"/>
      <c r="G440" s="16"/>
      <c r="H440" s="16"/>
      <c r="I440" s="16"/>
      <c r="J440" s="16"/>
      <c r="K440" s="16"/>
      <c r="L440" s="16"/>
      <c r="M440" s="16"/>
      <c r="N440" s="16"/>
    </row>
    <row r="441" spans="2:14" ht="20.25" x14ac:dyDescent="0.3">
      <c r="B441" s="16"/>
      <c r="C441" s="16"/>
      <c r="D441" s="16"/>
      <c r="E441" s="16"/>
      <c r="F441" s="16"/>
      <c r="G441" s="16"/>
      <c r="H441" s="16"/>
      <c r="I441" s="16"/>
      <c r="J441" s="16"/>
      <c r="K441" s="16"/>
      <c r="L441" s="16"/>
      <c r="M441" s="16"/>
      <c r="N441" s="16"/>
    </row>
    <row r="442" spans="2:14" ht="20.25" x14ac:dyDescent="0.3">
      <c r="B442" s="16"/>
      <c r="C442" s="16"/>
      <c r="D442" s="16"/>
      <c r="E442" s="16"/>
      <c r="F442" s="16"/>
      <c r="G442" s="16"/>
      <c r="H442" s="16"/>
      <c r="I442" s="16"/>
      <c r="J442" s="16"/>
      <c r="K442" s="16"/>
      <c r="L442" s="16"/>
      <c r="M442" s="16"/>
      <c r="N442" s="16"/>
    </row>
    <row r="443" spans="2:14" ht="20.25" x14ac:dyDescent="0.3">
      <c r="B443" s="16"/>
      <c r="C443" s="16"/>
      <c r="D443" s="16"/>
      <c r="E443" s="16"/>
      <c r="F443" s="16"/>
      <c r="G443" s="16"/>
      <c r="H443" s="16"/>
      <c r="I443" s="16"/>
      <c r="J443" s="16"/>
      <c r="K443" s="16"/>
      <c r="L443" s="16"/>
      <c r="M443" s="16"/>
      <c r="N443" s="16"/>
    </row>
    <row r="444" spans="2:14" ht="20.25" x14ac:dyDescent="0.3">
      <c r="B444" s="16"/>
      <c r="C444" s="16"/>
      <c r="D444" s="16"/>
      <c r="E444" s="16"/>
      <c r="F444" s="16"/>
      <c r="G444" s="16"/>
      <c r="H444" s="16"/>
      <c r="I444" s="16"/>
      <c r="J444" s="16"/>
      <c r="K444" s="16"/>
      <c r="L444" s="16"/>
      <c r="M444" s="16"/>
      <c r="N444" s="16"/>
    </row>
    <row r="445" spans="2:14" ht="20.25" x14ac:dyDescent="0.3">
      <c r="B445" s="16"/>
      <c r="C445" s="16"/>
      <c r="D445" s="16"/>
      <c r="E445" s="16"/>
      <c r="F445" s="16"/>
      <c r="G445" s="16"/>
      <c r="H445" s="16"/>
      <c r="I445" s="16"/>
      <c r="J445" s="16"/>
      <c r="K445" s="16"/>
      <c r="L445" s="16"/>
      <c r="M445" s="16"/>
      <c r="N445" s="16"/>
    </row>
    <row r="446" spans="2:14" ht="20.25" x14ac:dyDescent="0.3">
      <c r="B446" s="16"/>
      <c r="C446" s="16"/>
      <c r="D446" s="16"/>
      <c r="E446" s="16"/>
      <c r="F446" s="16"/>
      <c r="G446" s="16"/>
      <c r="H446" s="16"/>
      <c r="I446" s="16"/>
      <c r="J446" s="16"/>
      <c r="K446" s="16"/>
      <c r="L446" s="16"/>
      <c r="M446" s="16"/>
      <c r="N446" s="16"/>
    </row>
    <row r="447" spans="2:14" ht="20.25" x14ac:dyDescent="0.3">
      <c r="B447" s="16"/>
      <c r="C447" s="16"/>
      <c r="D447" s="16"/>
      <c r="E447" s="16"/>
      <c r="F447" s="16"/>
      <c r="G447" s="16"/>
      <c r="H447" s="16"/>
      <c r="I447" s="16"/>
      <c r="J447" s="16"/>
      <c r="K447" s="16"/>
      <c r="L447" s="16"/>
      <c r="M447" s="16"/>
      <c r="N447" s="16"/>
    </row>
    <row r="448" spans="2:14" ht="20.25" x14ac:dyDescent="0.3">
      <c r="B448" s="16"/>
      <c r="C448" s="16"/>
      <c r="D448" s="16"/>
      <c r="E448" s="16"/>
      <c r="F448" s="16"/>
      <c r="G448" s="16"/>
      <c r="H448" s="16"/>
      <c r="I448" s="16"/>
      <c r="J448" s="16"/>
      <c r="K448" s="16"/>
      <c r="L448" s="16"/>
      <c r="M448" s="16"/>
      <c r="N448" s="16"/>
    </row>
    <row r="449" spans="2:14" ht="20.25" x14ac:dyDescent="0.3">
      <c r="B449" s="16"/>
      <c r="C449" s="16"/>
      <c r="D449" s="16"/>
      <c r="E449" s="16"/>
      <c r="F449" s="16"/>
      <c r="G449" s="16"/>
      <c r="H449" s="16"/>
      <c r="I449" s="16"/>
      <c r="J449" s="16"/>
      <c r="K449" s="16"/>
      <c r="L449" s="16"/>
      <c r="M449" s="16"/>
      <c r="N449" s="16"/>
    </row>
    <row r="450" spans="2:14" ht="20.25" x14ac:dyDescent="0.3">
      <c r="B450" s="16"/>
      <c r="C450" s="16"/>
      <c r="D450" s="16"/>
      <c r="E450" s="16"/>
      <c r="F450" s="16"/>
      <c r="G450" s="16"/>
      <c r="H450" s="16"/>
      <c r="I450" s="16"/>
      <c r="J450" s="16"/>
      <c r="K450" s="16"/>
      <c r="L450" s="16"/>
      <c r="M450" s="16"/>
      <c r="N450" s="16"/>
    </row>
    <row r="451" spans="2:14" ht="20.25" x14ac:dyDescent="0.3">
      <c r="B451" s="16"/>
      <c r="C451" s="16"/>
      <c r="D451" s="16"/>
      <c r="E451" s="16"/>
      <c r="F451" s="16"/>
      <c r="G451" s="16"/>
      <c r="H451" s="16"/>
      <c r="I451" s="16"/>
      <c r="J451" s="16"/>
      <c r="K451" s="16"/>
      <c r="L451" s="16"/>
      <c r="M451" s="16"/>
      <c r="N451" s="16"/>
    </row>
    <row r="452" spans="2:14" ht="20.25" x14ac:dyDescent="0.3">
      <c r="B452" s="16"/>
      <c r="C452" s="16"/>
      <c r="D452" s="16"/>
      <c r="E452" s="16"/>
      <c r="F452" s="16"/>
      <c r="G452" s="16"/>
      <c r="H452" s="16"/>
      <c r="I452" s="16"/>
      <c r="J452" s="16"/>
      <c r="K452" s="16"/>
      <c r="L452" s="16"/>
      <c r="M452" s="16"/>
      <c r="N452" s="16"/>
    </row>
    <row r="453" spans="2:14" ht="20.25" x14ac:dyDescent="0.3">
      <c r="B453" s="16"/>
      <c r="C453" s="16"/>
      <c r="D453" s="16"/>
      <c r="E453" s="16"/>
      <c r="F453" s="16"/>
      <c r="G453" s="16"/>
      <c r="H453" s="16"/>
      <c r="I453" s="16"/>
      <c r="J453" s="16"/>
      <c r="K453" s="16"/>
      <c r="L453" s="16"/>
      <c r="M453" s="16"/>
      <c r="N453" s="16"/>
    </row>
    <row r="454" spans="2:14" ht="20.25" x14ac:dyDescent="0.3">
      <c r="B454" s="16"/>
      <c r="C454" s="16"/>
      <c r="D454" s="16"/>
      <c r="E454" s="16"/>
      <c r="F454" s="16"/>
      <c r="G454" s="16"/>
      <c r="H454" s="16"/>
      <c r="I454" s="16"/>
      <c r="J454" s="16"/>
      <c r="K454" s="16"/>
      <c r="L454" s="16"/>
      <c r="M454" s="16"/>
      <c r="N454" s="16"/>
    </row>
    <row r="455" spans="2:14" ht="20.25" x14ac:dyDescent="0.3">
      <c r="B455" s="16"/>
      <c r="C455" s="16"/>
      <c r="D455" s="16"/>
      <c r="E455" s="16"/>
      <c r="F455" s="16"/>
      <c r="G455" s="16"/>
      <c r="H455" s="16"/>
      <c r="I455" s="16"/>
      <c r="J455" s="16"/>
      <c r="K455" s="16"/>
      <c r="L455" s="16"/>
      <c r="M455" s="16"/>
      <c r="N455" s="16"/>
    </row>
    <row r="456" spans="2:14" ht="20.25" x14ac:dyDescent="0.3">
      <c r="B456" s="16"/>
      <c r="C456" s="16"/>
      <c r="D456" s="16"/>
      <c r="E456" s="16"/>
      <c r="F456" s="16"/>
      <c r="G456" s="16"/>
      <c r="H456" s="16"/>
      <c r="I456" s="16"/>
      <c r="J456" s="16"/>
      <c r="K456" s="16"/>
      <c r="L456" s="16"/>
      <c r="M456" s="16"/>
      <c r="N456" s="16"/>
    </row>
    <row r="457" spans="2:14" ht="20.25" x14ac:dyDescent="0.3">
      <c r="B457" s="16"/>
      <c r="C457" s="16"/>
      <c r="D457" s="16"/>
      <c r="E457" s="16"/>
      <c r="F457" s="16"/>
      <c r="G457" s="16"/>
      <c r="H457" s="16"/>
      <c r="I457" s="16"/>
      <c r="J457" s="16"/>
      <c r="K457" s="16"/>
      <c r="L457" s="16"/>
      <c r="M457" s="16"/>
      <c r="N457" s="16"/>
    </row>
    <row r="458" spans="2:14" ht="20.25" x14ac:dyDescent="0.3">
      <c r="B458" s="16"/>
      <c r="C458" s="16"/>
      <c r="D458" s="16"/>
      <c r="E458" s="16"/>
      <c r="F458" s="16"/>
      <c r="G458" s="16"/>
      <c r="H458" s="16"/>
      <c r="I458" s="16"/>
      <c r="J458" s="16"/>
      <c r="K458" s="16"/>
      <c r="L458" s="16"/>
      <c r="M458" s="16"/>
      <c r="N458" s="16"/>
    </row>
    <row r="459" spans="2:14" ht="20.25" x14ac:dyDescent="0.3">
      <c r="B459" s="16"/>
      <c r="C459" s="16"/>
      <c r="D459" s="16"/>
      <c r="E459" s="16"/>
      <c r="F459" s="16"/>
      <c r="G459" s="16"/>
      <c r="H459" s="16"/>
      <c r="I459" s="16"/>
      <c r="J459" s="16"/>
      <c r="K459" s="16"/>
      <c r="L459" s="16"/>
      <c r="M459" s="16"/>
      <c r="N459" s="16"/>
    </row>
    <row r="460" spans="2:14" ht="20.25" x14ac:dyDescent="0.3">
      <c r="B460" s="16"/>
      <c r="C460" s="16"/>
      <c r="D460" s="16"/>
      <c r="E460" s="16"/>
      <c r="F460" s="16"/>
      <c r="G460" s="16"/>
      <c r="H460" s="16"/>
      <c r="I460" s="16"/>
      <c r="J460" s="16"/>
      <c r="K460" s="16"/>
      <c r="L460" s="16"/>
      <c r="M460" s="16"/>
      <c r="N460" s="16"/>
    </row>
    <row r="461" spans="2:14" ht="20.25" x14ac:dyDescent="0.3">
      <c r="B461" s="16"/>
      <c r="C461" s="16"/>
      <c r="D461" s="16"/>
      <c r="E461" s="16"/>
      <c r="F461" s="16"/>
      <c r="G461" s="16"/>
      <c r="H461" s="16"/>
      <c r="I461" s="16"/>
      <c r="J461" s="16"/>
      <c r="K461" s="16"/>
      <c r="L461" s="16"/>
      <c r="M461" s="16"/>
      <c r="N461" s="16"/>
    </row>
    <row r="462" spans="2:14" ht="20.25" x14ac:dyDescent="0.3">
      <c r="B462" s="16"/>
      <c r="C462" s="16"/>
      <c r="D462" s="16"/>
      <c r="E462" s="16"/>
      <c r="F462" s="16"/>
      <c r="G462" s="16"/>
      <c r="H462" s="16"/>
      <c r="I462" s="16"/>
      <c r="J462" s="16"/>
      <c r="K462" s="16"/>
      <c r="L462" s="16"/>
      <c r="M462" s="16"/>
      <c r="N462" s="16"/>
    </row>
    <row r="463" spans="2:14" ht="20.25" x14ac:dyDescent="0.3">
      <c r="B463" s="16"/>
      <c r="C463" s="16"/>
      <c r="D463" s="16"/>
      <c r="E463" s="16"/>
      <c r="F463" s="16"/>
      <c r="G463" s="16"/>
      <c r="H463" s="16"/>
      <c r="I463" s="16"/>
      <c r="J463" s="16"/>
      <c r="K463" s="16"/>
      <c r="L463" s="16"/>
      <c r="M463" s="16"/>
      <c r="N463" s="16"/>
    </row>
    <row r="464" spans="2:14" ht="20.25" x14ac:dyDescent="0.3">
      <c r="B464" s="16"/>
      <c r="C464" s="16"/>
      <c r="D464" s="16"/>
      <c r="E464" s="16"/>
      <c r="F464" s="16"/>
      <c r="G464" s="16"/>
      <c r="H464" s="16"/>
      <c r="I464" s="16"/>
      <c r="J464" s="16"/>
      <c r="K464" s="16"/>
      <c r="L464" s="16"/>
      <c r="M464" s="16"/>
      <c r="N464" s="16"/>
    </row>
    <row r="465" spans="2:14" ht="20.25" x14ac:dyDescent="0.3">
      <c r="B465" s="16"/>
      <c r="C465" s="16"/>
      <c r="D465" s="16"/>
      <c r="E465" s="16"/>
      <c r="F465" s="16"/>
      <c r="G465" s="16"/>
      <c r="H465" s="16"/>
      <c r="I465" s="16"/>
      <c r="J465" s="16"/>
      <c r="K465" s="16"/>
      <c r="L465" s="16"/>
      <c r="M465" s="16"/>
      <c r="N465" s="16"/>
    </row>
    <row r="466" spans="2:14" ht="20.25" x14ac:dyDescent="0.3">
      <c r="B466" s="16"/>
      <c r="C466" s="16"/>
      <c r="D466" s="16"/>
      <c r="E466" s="16"/>
      <c r="F466" s="16"/>
      <c r="G466" s="16"/>
      <c r="H466" s="16"/>
      <c r="I466" s="16"/>
      <c r="J466" s="16"/>
      <c r="K466" s="16"/>
      <c r="L466" s="16"/>
      <c r="M466" s="16"/>
      <c r="N466" s="16"/>
    </row>
    <row r="467" spans="2:14" ht="20.25" x14ac:dyDescent="0.3">
      <c r="B467" s="16"/>
      <c r="C467" s="16"/>
      <c r="D467" s="16"/>
      <c r="E467" s="16"/>
      <c r="F467" s="16"/>
      <c r="G467" s="16"/>
      <c r="H467" s="16"/>
      <c r="I467" s="16"/>
      <c r="J467" s="16"/>
      <c r="K467" s="16"/>
      <c r="L467" s="16"/>
      <c r="M467" s="16"/>
      <c r="N467" s="16"/>
    </row>
    <row r="468" spans="2:14" ht="20.25" x14ac:dyDescent="0.3">
      <c r="B468" s="16"/>
      <c r="C468" s="16"/>
      <c r="D468" s="16"/>
      <c r="E468" s="16"/>
      <c r="F468" s="16"/>
      <c r="G468" s="16"/>
      <c r="H468" s="16"/>
      <c r="I468" s="16"/>
      <c r="J468" s="16"/>
      <c r="K468" s="16"/>
      <c r="L468" s="16"/>
      <c r="M468" s="16"/>
      <c r="N468" s="16"/>
    </row>
    <row r="469" spans="2:14" ht="20.25" x14ac:dyDescent="0.3">
      <c r="B469" s="16"/>
      <c r="C469" s="16"/>
      <c r="D469" s="16"/>
      <c r="E469" s="16"/>
      <c r="F469" s="16"/>
      <c r="G469" s="16"/>
      <c r="H469" s="16"/>
      <c r="I469" s="16"/>
      <c r="J469" s="16"/>
      <c r="K469" s="16"/>
      <c r="L469" s="16"/>
      <c r="M469" s="16"/>
      <c r="N469" s="16"/>
    </row>
    <row r="470" spans="2:14" ht="20.25" x14ac:dyDescent="0.3">
      <c r="B470" s="16"/>
      <c r="C470" s="16"/>
      <c r="D470" s="16"/>
      <c r="E470" s="16"/>
      <c r="F470" s="16"/>
      <c r="G470" s="16"/>
      <c r="H470" s="16"/>
      <c r="I470" s="16"/>
      <c r="J470" s="16"/>
      <c r="K470" s="16"/>
      <c r="L470" s="16"/>
      <c r="M470" s="16"/>
      <c r="N470" s="16"/>
    </row>
    <row r="471" spans="2:14" ht="20.25" x14ac:dyDescent="0.3">
      <c r="B471" s="16"/>
      <c r="C471" s="16"/>
      <c r="D471" s="16"/>
      <c r="E471" s="16"/>
      <c r="F471" s="16"/>
      <c r="G471" s="16"/>
      <c r="H471" s="16"/>
      <c r="I471" s="16"/>
      <c r="J471" s="16"/>
      <c r="K471" s="16"/>
      <c r="L471" s="16"/>
      <c r="M471" s="16"/>
      <c r="N471" s="16"/>
    </row>
    <row r="472" spans="2:14" ht="20.25" x14ac:dyDescent="0.3">
      <c r="B472" s="16"/>
      <c r="C472" s="16"/>
      <c r="D472" s="16"/>
      <c r="E472" s="16"/>
      <c r="F472" s="16"/>
      <c r="G472" s="16"/>
      <c r="H472" s="16"/>
      <c r="I472" s="16"/>
      <c r="J472" s="16"/>
      <c r="K472" s="16"/>
      <c r="L472" s="16"/>
      <c r="M472" s="16"/>
      <c r="N472" s="16"/>
    </row>
    <row r="473" spans="2:14" ht="20.25" x14ac:dyDescent="0.3">
      <c r="B473" s="16"/>
      <c r="C473" s="16"/>
      <c r="D473" s="16"/>
      <c r="E473" s="16"/>
      <c r="F473" s="16"/>
      <c r="G473" s="16"/>
      <c r="H473" s="16"/>
      <c r="I473" s="16"/>
      <c r="J473" s="16"/>
      <c r="K473" s="16"/>
      <c r="L473" s="16"/>
      <c r="M473" s="16"/>
      <c r="N473" s="16"/>
    </row>
    <row r="474" spans="2:14" ht="20.25" x14ac:dyDescent="0.3">
      <c r="B474" s="16"/>
      <c r="C474" s="16"/>
      <c r="D474" s="16"/>
      <c r="E474" s="16"/>
      <c r="F474" s="16"/>
      <c r="G474" s="16"/>
      <c r="H474" s="16"/>
      <c r="I474" s="16"/>
      <c r="J474" s="16"/>
      <c r="K474" s="16"/>
      <c r="L474" s="16"/>
      <c r="M474" s="16"/>
      <c r="N474" s="16"/>
    </row>
    <row r="475" spans="2:14" ht="20.25" x14ac:dyDescent="0.3">
      <c r="B475" s="16"/>
      <c r="C475" s="16"/>
      <c r="D475" s="16"/>
      <c r="E475" s="16"/>
      <c r="F475" s="16"/>
      <c r="G475" s="16"/>
      <c r="H475" s="16"/>
      <c r="I475" s="16"/>
      <c r="J475" s="16"/>
      <c r="K475" s="16"/>
      <c r="L475" s="16"/>
      <c r="M475" s="16"/>
      <c r="N475" s="16"/>
    </row>
    <row r="476" spans="2:14" ht="20.25" x14ac:dyDescent="0.3">
      <c r="B476" s="16"/>
      <c r="C476" s="16"/>
      <c r="D476" s="16"/>
      <c r="E476" s="16"/>
      <c r="F476" s="16"/>
      <c r="G476" s="16"/>
      <c r="H476" s="16"/>
      <c r="I476" s="16"/>
      <c r="J476" s="16"/>
      <c r="K476" s="16"/>
      <c r="L476" s="16"/>
      <c r="M476" s="16"/>
      <c r="N476" s="16"/>
    </row>
    <row r="477" spans="2:14" ht="20.25" x14ac:dyDescent="0.3">
      <c r="B477" s="16"/>
      <c r="C477" s="16"/>
      <c r="D477" s="16"/>
      <c r="E477" s="16"/>
      <c r="F477" s="16"/>
      <c r="G477" s="16"/>
      <c r="H477" s="16"/>
      <c r="I477" s="16"/>
      <c r="J477" s="16"/>
      <c r="K477" s="16"/>
      <c r="L477" s="16"/>
      <c r="M477" s="16"/>
      <c r="N477" s="16"/>
    </row>
    <row r="478" spans="2:14" ht="20.25" x14ac:dyDescent="0.3">
      <c r="B478" s="16"/>
      <c r="C478" s="16"/>
      <c r="D478" s="16"/>
      <c r="E478" s="16"/>
      <c r="F478" s="16"/>
      <c r="G478" s="16"/>
      <c r="H478" s="16"/>
      <c r="I478" s="16"/>
      <c r="J478" s="16"/>
      <c r="K478" s="16"/>
      <c r="L478" s="16"/>
      <c r="M478" s="16"/>
      <c r="N478" s="16"/>
    </row>
    <row r="479" spans="2:14" ht="20.25" x14ac:dyDescent="0.3">
      <c r="B479" s="16"/>
      <c r="C479" s="16"/>
      <c r="D479" s="16"/>
      <c r="E479" s="16"/>
      <c r="F479" s="16"/>
      <c r="G479" s="16"/>
      <c r="H479" s="16"/>
      <c r="I479" s="16"/>
      <c r="J479" s="16"/>
      <c r="K479" s="16"/>
      <c r="L479" s="16"/>
      <c r="M479" s="16"/>
      <c r="N479" s="16"/>
    </row>
    <row r="480" spans="2:14" ht="20.25" x14ac:dyDescent="0.3">
      <c r="B480" s="16"/>
      <c r="C480" s="16"/>
      <c r="D480" s="16"/>
      <c r="E480" s="16"/>
      <c r="F480" s="16"/>
      <c r="G480" s="16"/>
      <c r="H480" s="16"/>
      <c r="I480" s="16"/>
      <c r="J480" s="16"/>
      <c r="K480" s="16"/>
      <c r="L480" s="16"/>
      <c r="M480" s="16"/>
      <c r="N480" s="16"/>
    </row>
    <row r="481" spans="2:14" ht="20.25" x14ac:dyDescent="0.3">
      <c r="B481" s="16"/>
      <c r="C481" s="16"/>
      <c r="D481" s="16"/>
      <c r="E481" s="16"/>
      <c r="F481" s="16"/>
      <c r="G481" s="16"/>
      <c r="H481" s="16"/>
      <c r="I481" s="16"/>
      <c r="J481" s="16"/>
      <c r="K481" s="16"/>
      <c r="L481" s="16"/>
      <c r="M481" s="16"/>
      <c r="N481" s="16"/>
    </row>
    <row r="482" spans="2:14" ht="20.25" x14ac:dyDescent="0.3">
      <c r="B482" s="16"/>
      <c r="C482" s="16"/>
      <c r="D482" s="16"/>
      <c r="E482" s="16"/>
      <c r="F482" s="16"/>
      <c r="G482" s="16"/>
      <c r="H482" s="16"/>
      <c r="I482" s="16"/>
      <c r="J482" s="16"/>
      <c r="K482" s="16"/>
      <c r="L482" s="16"/>
      <c r="M482" s="16"/>
      <c r="N482" s="16"/>
    </row>
    <row r="483" spans="2:14" ht="20.25" x14ac:dyDescent="0.3">
      <c r="B483" s="16"/>
      <c r="C483" s="16"/>
      <c r="D483" s="16"/>
      <c r="E483" s="16"/>
      <c r="F483" s="16"/>
      <c r="G483" s="16"/>
      <c r="H483" s="16"/>
      <c r="I483" s="16"/>
      <c r="J483" s="16"/>
      <c r="K483" s="16"/>
      <c r="L483" s="16"/>
      <c r="M483" s="16"/>
      <c r="N483" s="16"/>
    </row>
    <row r="484" spans="2:14" ht="20.25" x14ac:dyDescent="0.3">
      <c r="B484" s="16"/>
      <c r="C484" s="16"/>
      <c r="D484" s="16"/>
      <c r="E484" s="16"/>
      <c r="F484" s="16"/>
      <c r="G484" s="16"/>
      <c r="H484" s="16"/>
      <c r="I484" s="16"/>
      <c r="J484" s="16"/>
      <c r="K484" s="16"/>
      <c r="L484" s="16"/>
      <c r="M484" s="16"/>
      <c r="N484" s="16"/>
    </row>
    <row r="485" spans="2:14" ht="20.25" x14ac:dyDescent="0.3">
      <c r="B485" s="16"/>
      <c r="C485" s="16"/>
      <c r="D485" s="16"/>
      <c r="E485" s="16"/>
      <c r="F485" s="16"/>
      <c r="G485" s="16"/>
      <c r="H485" s="16"/>
      <c r="I485" s="16"/>
      <c r="J485" s="16"/>
      <c r="K485" s="16"/>
      <c r="L485" s="16"/>
      <c r="M485" s="16"/>
      <c r="N485" s="16"/>
    </row>
    <row r="486" spans="2:14" ht="20.25" x14ac:dyDescent="0.3">
      <c r="B486" s="16"/>
      <c r="C486" s="16"/>
      <c r="D486" s="16"/>
      <c r="E486" s="16"/>
      <c r="F486" s="16"/>
      <c r="G486" s="16"/>
      <c r="H486" s="16"/>
      <c r="I486" s="16"/>
      <c r="J486" s="16"/>
      <c r="K486" s="16"/>
      <c r="L486" s="16"/>
      <c r="M486" s="16"/>
      <c r="N486" s="16"/>
    </row>
    <row r="487" spans="2:14" ht="20.25" x14ac:dyDescent="0.3">
      <c r="B487" s="16"/>
      <c r="C487" s="16"/>
      <c r="D487" s="16"/>
      <c r="E487" s="16"/>
      <c r="F487" s="16"/>
      <c r="G487" s="16"/>
      <c r="H487" s="16"/>
      <c r="I487" s="16"/>
      <c r="J487" s="16"/>
      <c r="K487" s="16"/>
      <c r="L487" s="16"/>
      <c r="M487" s="16"/>
      <c r="N487" s="16"/>
    </row>
    <row r="488" spans="2:14" ht="20.25" x14ac:dyDescent="0.3">
      <c r="B488" s="16"/>
      <c r="C488" s="16"/>
      <c r="D488" s="16"/>
      <c r="E488" s="16"/>
      <c r="F488" s="16"/>
      <c r="G488" s="16"/>
      <c r="H488" s="16"/>
      <c r="I488" s="16"/>
      <c r="J488" s="16"/>
      <c r="K488" s="16"/>
      <c r="L488" s="16"/>
      <c r="M488" s="16"/>
      <c r="N488" s="16"/>
    </row>
    <row r="489" spans="2:14" ht="20.25" x14ac:dyDescent="0.3">
      <c r="B489" s="16"/>
      <c r="C489" s="16"/>
      <c r="D489" s="16"/>
      <c r="E489" s="16"/>
      <c r="F489" s="16"/>
      <c r="G489" s="16"/>
      <c r="H489" s="16"/>
      <c r="I489" s="16"/>
      <c r="J489" s="16"/>
      <c r="K489" s="16"/>
      <c r="L489" s="16"/>
      <c r="M489" s="16"/>
      <c r="N489" s="16"/>
    </row>
    <row r="490" spans="2:14" ht="20.25" x14ac:dyDescent="0.3">
      <c r="B490" s="16"/>
      <c r="C490" s="16"/>
      <c r="D490" s="16"/>
      <c r="E490" s="16"/>
      <c r="F490" s="16"/>
      <c r="G490" s="16"/>
      <c r="H490" s="16"/>
      <c r="I490" s="16"/>
      <c r="J490" s="16"/>
      <c r="K490" s="16"/>
      <c r="L490" s="16"/>
      <c r="M490" s="16"/>
      <c r="N490" s="16"/>
    </row>
    <row r="491" spans="2:14" ht="20.25" x14ac:dyDescent="0.3">
      <c r="B491" s="16"/>
      <c r="C491" s="16"/>
      <c r="D491" s="16"/>
      <c r="E491" s="16"/>
      <c r="F491" s="16"/>
      <c r="G491" s="16"/>
      <c r="H491" s="16"/>
      <c r="I491" s="16"/>
      <c r="J491" s="16"/>
      <c r="K491" s="16"/>
      <c r="L491" s="16"/>
      <c r="M491" s="16"/>
      <c r="N491" s="16"/>
    </row>
    <row r="492" spans="2:14" ht="20.25" x14ac:dyDescent="0.3">
      <c r="B492" s="16"/>
      <c r="C492" s="16"/>
      <c r="D492" s="16"/>
      <c r="E492" s="16"/>
      <c r="F492" s="16"/>
      <c r="G492" s="16"/>
      <c r="H492" s="16"/>
      <c r="I492" s="16"/>
      <c r="J492" s="16"/>
      <c r="K492" s="16"/>
      <c r="L492" s="16"/>
      <c r="M492" s="16"/>
      <c r="N492" s="16"/>
    </row>
    <row r="493" spans="2:14" ht="20.25" x14ac:dyDescent="0.3">
      <c r="B493" s="16"/>
      <c r="C493" s="16"/>
      <c r="D493" s="16"/>
      <c r="E493" s="16"/>
      <c r="F493" s="16"/>
      <c r="G493" s="16"/>
      <c r="H493" s="16"/>
      <c r="I493" s="16"/>
      <c r="J493" s="16"/>
      <c r="K493" s="16"/>
      <c r="L493" s="16"/>
      <c r="M493" s="16"/>
      <c r="N493" s="16"/>
    </row>
    <row r="494" spans="2:14" ht="20.25" x14ac:dyDescent="0.3">
      <c r="B494" s="16"/>
      <c r="C494" s="16"/>
      <c r="D494" s="16"/>
      <c r="E494" s="16"/>
      <c r="F494" s="16"/>
      <c r="G494" s="16"/>
      <c r="H494" s="16"/>
      <c r="I494" s="16"/>
      <c r="J494" s="16"/>
      <c r="K494" s="16"/>
      <c r="L494" s="16"/>
      <c r="M494" s="16"/>
      <c r="N494" s="16"/>
    </row>
    <row r="495" spans="2:14" ht="20.25" x14ac:dyDescent="0.3">
      <c r="B495" s="16"/>
      <c r="C495" s="16"/>
      <c r="D495" s="16"/>
      <c r="E495" s="16"/>
      <c r="F495" s="16"/>
      <c r="G495" s="16"/>
      <c r="H495" s="16"/>
      <c r="I495" s="16"/>
      <c r="J495" s="16"/>
      <c r="K495" s="16"/>
      <c r="L495" s="16"/>
      <c r="M495" s="16"/>
      <c r="N495" s="16"/>
    </row>
    <row r="496" spans="2:14" ht="20.25" x14ac:dyDescent="0.3">
      <c r="B496" s="16"/>
      <c r="C496" s="16"/>
      <c r="D496" s="16"/>
      <c r="E496" s="16"/>
      <c r="F496" s="16"/>
      <c r="G496" s="16"/>
      <c r="H496" s="16"/>
      <c r="I496" s="16"/>
      <c r="J496" s="16"/>
      <c r="K496" s="16"/>
      <c r="L496" s="16"/>
      <c r="M496" s="16"/>
      <c r="N496" s="16"/>
    </row>
    <row r="497" spans="2:14" ht="20.25" x14ac:dyDescent="0.3">
      <c r="B497" s="16"/>
      <c r="C497" s="16"/>
      <c r="D497" s="16"/>
      <c r="E497" s="16"/>
      <c r="F497" s="16"/>
      <c r="G497" s="16"/>
      <c r="H497" s="16"/>
      <c r="I497" s="16"/>
      <c r="J497" s="16"/>
      <c r="K497" s="16"/>
      <c r="L497" s="16"/>
      <c r="M497" s="16"/>
      <c r="N497" s="16"/>
    </row>
    <row r="498" spans="2:14" ht="20.25" x14ac:dyDescent="0.3">
      <c r="B498" s="16"/>
      <c r="C498" s="16"/>
      <c r="D498" s="16"/>
      <c r="E498" s="16"/>
      <c r="F498" s="16"/>
      <c r="G498" s="16"/>
      <c r="H498" s="16"/>
      <c r="I498" s="16"/>
      <c r="J498" s="16"/>
      <c r="K498" s="16"/>
      <c r="L498" s="16"/>
      <c r="M498" s="16"/>
      <c r="N498" s="16"/>
    </row>
    <row r="499" spans="2:14" ht="20.25" x14ac:dyDescent="0.3">
      <c r="B499" s="16"/>
      <c r="C499" s="16"/>
      <c r="D499" s="16"/>
      <c r="E499" s="16"/>
      <c r="F499" s="16"/>
      <c r="G499" s="16"/>
      <c r="H499" s="16"/>
      <c r="I499" s="16"/>
      <c r="J499" s="16"/>
      <c r="K499" s="16"/>
      <c r="L499" s="16"/>
      <c r="M499" s="16"/>
      <c r="N499" s="16"/>
    </row>
    <row r="500" spans="2:14" ht="20.25" x14ac:dyDescent="0.3">
      <c r="B500" s="16"/>
      <c r="C500" s="16"/>
      <c r="D500" s="16"/>
      <c r="E500" s="16"/>
      <c r="F500" s="16"/>
      <c r="G500" s="16"/>
      <c r="H500" s="16"/>
      <c r="I500" s="16"/>
      <c r="J500" s="16"/>
      <c r="K500" s="16"/>
      <c r="L500" s="16"/>
      <c r="M500" s="16"/>
      <c r="N500" s="16"/>
    </row>
    <row r="501" spans="2:14" ht="20.25" x14ac:dyDescent="0.3">
      <c r="B501" s="16"/>
      <c r="C501" s="16"/>
      <c r="D501" s="16"/>
      <c r="E501" s="16"/>
      <c r="F501" s="16"/>
      <c r="G501" s="16"/>
      <c r="H501" s="16"/>
      <c r="I501" s="16"/>
      <c r="J501" s="16"/>
      <c r="K501" s="16"/>
      <c r="L501" s="16"/>
      <c r="M501" s="16"/>
      <c r="N501" s="16"/>
    </row>
    <row r="502" spans="2:14" ht="20.25" x14ac:dyDescent="0.3">
      <c r="B502" s="16"/>
      <c r="C502" s="16"/>
      <c r="D502" s="16"/>
      <c r="E502" s="16"/>
      <c r="F502" s="16"/>
      <c r="G502" s="16"/>
      <c r="H502" s="16"/>
      <c r="I502" s="16"/>
      <c r="J502" s="16"/>
      <c r="K502" s="16"/>
      <c r="L502" s="16"/>
      <c r="M502" s="16"/>
      <c r="N502" s="16"/>
    </row>
    <row r="503" spans="2:14" ht="20.25" x14ac:dyDescent="0.3">
      <c r="B503" s="16"/>
      <c r="C503" s="16"/>
      <c r="D503" s="16"/>
      <c r="E503" s="16"/>
      <c r="F503" s="16"/>
      <c r="G503" s="16"/>
      <c r="H503" s="16"/>
      <c r="I503" s="16"/>
      <c r="J503" s="16"/>
      <c r="K503" s="16"/>
      <c r="L503" s="16"/>
      <c r="M503" s="16"/>
      <c r="N503" s="16"/>
    </row>
    <row r="504" spans="2:14" ht="20.25" x14ac:dyDescent="0.3">
      <c r="B504" s="16"/>
      <c r="C504" s="16"/>
      <c r="D504" s="16"/>
      <c r="E504" s="16"/>
      <c r="F504" s="16"/>
      <c r="G504" s="16"/>
      <c r="H504" s="16"/>
      <c r="I504" s="16"/>
      <c r="J504" s="16"/>
      <c r="K504" s="16"/>
      <c r="L504" s="16"/>
      <c r="M504" s="16"/>
      <c r="N504" s="16"/>
    </row>
    <row r="505" spans="2:14" ht="20.25" x14ac:dyDescent="0.3">
      <c r="B505" s="16"/>
      <c r="C505" s="16"/>
      <c r="D505" s="16"/>
      <c r="E505" s="16"/>
      <c r="F505" s="16"/>
      <c r="G505" s="16"/>
      <c r="H505" s="16"/>
      <c r="I505" s="16"/>
      <c r="J505" s="16"/>
      <c r="K505" s="16"/>
      <c r="L505" s="16"/>
      <c r="M505" s="16"/>
      <c r="N505" s="16"/>
    </row>
    <row r="506" spans="2:14" ht="20.25" x14ac:dyDescent="0.3">
      <c r="B506" s="16"/>
      <c r="C506" s="16"/>
      <c r="D506" s="16"/>
      <c r="E506" s="16"/>
      <c r="F506" s="16"/>
      <c r="G506" s="16"/>
      <c r="H506" s="16"/>
      <c r="I506" s="16"/>
      <c r="J506" s="16"/>
      <c r="K506" s="16"/>
      <c r="L506" s="16"/>
      <c r="M506" s="16"/>
      <c r="N506" s="16"/>
    </row>
    <row r="507" spans="2:14" ht="20.25" x14ac:dyDescent="0.3">
      <c r="B507" s="16"/>
      <c r="C507" s="16"/>
      <c r="D507" s="16"/>
      <c r="E507" s="16"/>
      <c r="F507" s="16"/>
      <c r="G507" s="16"/>
      <c r="H507" s="16"/>
      <c r="I507" s="16"/>
      <c r="J507" s="16"/>
      <c r="K507" s="16"/>
      <c r="L507" s="16"/>
      <c r="M507" s="16"/>
      <c r="N507" s="16"/>
    </row>
    <row r="508" spans="2:14" ht="20.25" x14ac:dyDescent="0.3">
      <c r="B508" s="16"/>
      <c r="C508" s="16"/>
      <c r="D508" s="16"/>
      <c r="E508" s="16"/>
      <c r="F508" s="16"/>
      <c r="G508" s="16"/>
      <c r="H508" s="16"/>
      <c r="I508" s="16"/>
      <c r="J508" s="16"/>
      <c r="K508" s="16"/>
      <c r="L508" s="16"/>
      <c r="M508" s="16"/>
      <c r="N508" s="16"/>
    </row>
    <row r="509" spans="2:14" ht="20.25" x14ac:dyDescent="0.3">
      <c r="B509" s="16"/>
      <c r="C509" s="16"/>
      <c r="D509" s="16"/>
      <c r="E509" s="16"/>
      <c r="F509" s="16"/>
      <c r="G509" s="16"/>
      <c r="H509" s="16"/>
      <c r="I509" s="16"/>
      <c r="J509" s="16"/>
      <c r="K509" s="16"/>
      <c r="L509" s="16"/>
      <c r="M509" s="16"/>
      <c r="N509" s="16"/>
    </row>
    <row r="510" spans="2:14" ht="20.25" x14ac:dyDescent="0.3">
      <c r="B510" s="16"/>
      <c r="C510" s="16"/>
      <c r="D510" s="16"/>
      <c r="E510" s="16"/>
      <c r="F510" s="16"/>
      <c r="G510" s="16"/>
      <c r="H510" s="16"/>
      <c r="I510" s="16"/>
      <c r="J510" s="16"/>
      <c r="K510" s="16"/>
      <c r="L510" s="16"/>
      <c r="M510" s="16"/>
      <c r="N510" s="16"/>
    </row>
    <row r="511" spans="2:14" ht="20.25" x14ac:dyDescent="0.3">
      <c r="B511" s="16"/>
      <c r="C511" s="16"/>
      <c r="D511" s="16"/>
      <c r="E511" s="16"/>
      <c r="F511" s="16"/>
      <c r="G511" s="16"/>
      <c r="H511" s="16"/>
      <c r="I511" s="16"/>
      <c r="J511" s="16"/>
      <c r="K511" s="16"/>
      <c r="L511" s="16"/>
      <c r="M511" s="16"/>
      <c r="N511" s="16"/>
    </row>
    <row r="512" spans="2:14" ht="20.25" x14ac:dyDescent="0.3">
      <c r="B512" s="16"/>
      <c r="C512" s="16"/>
      <c r="D512" s="16"/>
      <c r="E512" s="16"/>
      <c r="F512" s="16"/>
      <c r="G512" s="16"/>
      <c r="H512" s="16"/>
      <c r="I512" s="16"/>
      <c r="J512" s="16"/>
      <c r="K512" s="16"/>
      <c r="L512" s="16"/>
      <c r="M512" s="16"/>
      <c r="N512" s="16"/>
    </row>
    <row r="513" spans="2:14" ht="20.25" x14ac:dyDescent="0.3">
      <c r="B513" s="16"/>
      <c r="C513" s="16"/>
      <c r="D513" s="16"/>
      <c r="E513" s="16"/>
      <c r="F513" s="16"/>
      <c r="G513" s="16"/>
      <c r="H513" s="16"/>
      <c r="I513" s="16"/>
      <c r="J513" s="16"/>
      <c r="K513" s="16"/>
      <c r="L513" s="16"/>
      <c r="M513" s="16"/>
      <c r="N513" s="16"/>
    </row>
    <row r="514" spans="2:14" ht="20.25" x14ac:dyDescent="0.3">
      <c r="B514" s="16"/>
      <c r="C514" s="16"/>
      <c r="D514" s="16"/>
      <c r="E514" s="16"/>
      <c r="F514" s="16"/>
      <c r="G514" s="16"/>
      <c r="H514" s="16"/>
      <c r="I514" s="16"/>
      <c r="J514" s="16"/>
      <c r="K514" s="16"/>
      <c r="L514" s="16"/>
      <c r="M514" s="16"/>
      <c r="N514" s="16"/>
    </row>
    <row r="515" spans="2:14" ht="20.25" x14ac:dyDescent="0.3">
      <c r="B515" s="16"/>
      <c r="C515" s="16"/>
      <c r="D515" s="16"/>
      <c r="E515" s="16"/>
      <c r="F515" s="16"/>
      <c r="G515" s="16"/>
      <c r="H515" s="16"/>
      <c r="I515" s="16"/>
      <c r="J515" s="16"/>
      <c r="K515" s="16"/>
      <c r="L515" s="16"/>
      <c r="M515" s="16"/>
      <c r="N515" s="16"/>
    </row>
    <row r="516" spans="2:14" ht="20.25" x14ac:dyDescent="0.3">
      <c r="B516" s="16"/>
      <c r="C516" s="16"/>
      <c r="D516" s="16"/>
      <c r="E516" s="16"/>
      <c r="F516" s="16"/>
      <c r="G516" s="16"/>
      <c r="H516" s="16"/>
      <c r="I516" s="16"/>
      <c r="J516" s="16"/>
      <c r="K516" s="16"/>
      <c r="L516" s="16"/>
      <c r="M516" s="16"/>
      <c r="N516" s="16"/>
    </row>
    <row r="517" spans="2:14" ht="20.25" x14ac:dyDescent="0.3">
      <c r="B517" s="16"/>
      <c r="C517" s="16"/>
      <c r="D517" s="16"/>
      <c r="E517" s="16"/>
      <c r="F517" s="16"/>
      <c r="G517" s="16"/>
      <c r="H517" s="16"/>
      <c r="I517" s="16"/>
      <c r="J517" s="16"/>
      <c r="K517" s="16"/>
      <c r="L517" s="16"/>
      <c r="M517" s="16"/>
      <c r="N517" s="16"/>
    </row>
    <row r="518" spans="2:14" ht="20.25" x14ac:dyDescent="0.3">
      <c r="B518" s="16"/>
      <c r="C518" s="16"/>
      <c r="D518" s="16"/>
      <c r="E518" s="16"/>
      <c r="F518" s="16"/>
      <c r="G518" s="16"/>
      <c r="H518" s="16"/>
      <c r="I518" s="16"/>
      <c r="J518" s="16"/>
      <c r="K518" s="16"/>
      <c r="L518" s="16"/>
      <c r="M518" s="16"/>
      <c r="N518" s="16"/>
    </row>
    <row r="519" spans="2:14" ht="20.25" x14ac:dyDescent="0.3">
      <c r="B519" s="16"/>
      <c r="C519" s="16"/>
      <c r="D519" s="16"/>
      <c r="E519" s="16"/>
      <c r="F519" s="16"/>
      <c r="G519" s="16"/>
      <c r="H519" s="16"/>
      <c r="I519" s="16"/>
      <c r="J519" s="16"/>
      <c r="K519" s="16"/>
      <c r="L519" s="16"/>
      <c r="M519" s="16"/>
      <c r="N519" s="16"/>
    </row>
    <row r="520" spans="2:14" ht="20.25" x14ac:dyDescent="0.3">
      <c r="B520" s="16"/>
      <c r="C520" s="16"/>
      <c r="D520" s="16"/>
      <c r="E520" s="16"/>
      <c r="F520" s="16"/>
      <c r="G520" s="16"/>
      <c r="H520" s="16"/>
      <c r="I520" s="16"/>
      <c r="J520" s="16"/>
      <c r="K520" s="16"/>
      <c r="L520" s="16"/>
      <c r="M520" s="16"/>
      <c r="N520" s="16"/>
    </row>
    <row r="521" spans="2:14" ht="20.25" x14ac:dyDescent="0.3">
      <c r="B521" s="16"/>
      <c r="C521" s="16"/>
      <c r="D521" s="16"/>
      <c r="E521" s="16"/>
      <c r="F521" s="16"/>
      <c r="G521" s="16"/>
      <c r="H521" s="16"/>
      <c r="I521" s="16"/>
      <c r="J521" s="16"/>
      <c r="K521" s="16"/>
      <c r="L521" s="16"/>
      <c r="M521" s="16"/>
      <c r="N521" s="16"/>
    </row>
    <row r="522" spans="2:14" ht="20.25" x14ac:dyDescent="0.3">
      <c r="B522" s="16"/>
      <c r="C522" s="16"/>
      <c r="D522" s="16"/>
      <c r="E522" s="16"/>
      <c r="F522" s="16"/>
      <c r="G522" s="16"/>
      <c r="H522" s="16"/>
      <c r="I522" s="16"/>
      <c r="J522" s="16"/>
      <c r="K522" s="16"/>
      <c r="L522" s="16"/>
      <c r="M522" s="16"/>
      <c r="N522" s="16"/>
    </row>
    <row r="523" spans="2:14" ht="20.25" x14ac:dyDescent="0.3">
      <c r="B523" s="16"/>
      <c r="C523" s="16"/>
      <c r="D523" s="16"/>
      <c r="E523" s="16"/>
      <c r="F523" s="16"/>
      <c r="G523" s="16"/>
      <c r="H523" s="16"/>
      <c r="I523" s="16"/>
      <c r="J523" s="16"/>
      <c r="K523" s="16"/>
      <c r="L523" s="16"/>
      <c r="M523" s="16"/>
      <c r="N523" s="16"/>
    </row>
    <row r="524" spans="2:14" ht="20.25" x14ac:dyDescent="0.3">
      <c r="B524" s="16"/>
      <c r="C524" s="16"/>
      <c r="D524" s="16"/>
      <c r="E524" s="16"/>
      <c r="F524" s="16"/>
      <c r="G524" s="16"/>
      <c r="H524" s="16"/>
      <c r="I524" s="16"/>
      <c r="J524" s="16"/>
      <c r="K524" s="16"/>
      <c r="L524" s="16"/>
      <c r="M524" s="16"/>
      <c r="N524" s="16"/>
    </row>
    <row r="525" spans="2:14" ht="20.25" x14ac:dyDescent="0.3">
      <c r="B525" s="16"/>
      <c r="C525" s="16"/>
      <c r="D525" s="16"/>
      <c r="E525" s="16"/>
      <c r="F525" s="16"/>
      <c r="G525" s="16"/>
      <c r="H525" s="16"/>
      <c r="I525" s="16"/>
      <c r="J525" s="16"/>
      <c r="K525" s="16"/>
      <c r="L525" s="16"/>
      <c r="M525" s="16"/>
      <c r="N525" s="16"/>
    </row>
    <row r="526" spans="2:14" ht="20.25" x14ac:dyDescent="0.3">
      <c r="B526" s="16"/>
      <c r="C526" s="16"/>
      <c r="D526" s="16"/>
      <c r="E526" s="16"/>
      <c r="F526" s="16"/>
      <c r="G526" s="16"/>
      <c r="H526" s="16"/>
      <c r="I526" s="16"/>
      <c r="J526" s="16"/>
      <c r="K526" s="16"/>
      <c r="L526" s="16"/>
      <c r="M526" s="16"/>
      <c r="N526" s="16"/>
    </row>
    <row r="527" spans="2:14" ht="20.25" x14ac:dyDescent="0.3">
      <c r="B527" s="16"/>
      <c r="C527" s="16"/>
      <c r="D527" s="16"/>
      <c r="E527" s="16"/>
      <c r="F527" s="16"/>
      <c r="G527" s="16"/>
      <c r="H527" s="16"/>
      <c r="I527" s="16"/>
      <c r="J527" s="16"/>
      <c r="K527" s="16"/>
      <c r="L527" s="16"/>
      <c r="M527" s="16"/>
      <c r="N527" s="16"/>
    </row>
    <row r="528" spans="2:14" ht="20.25" x14ac:dyDescent="0.3">
      <c r="B528" s="16"/>
      <c r="C528" s="16"/>
      <c r="D528" s="16"/>
      <c r="E528" s="16"/>
      <c r="F528" s="16"/>
      <c r="G528" s="16"/>
      <c r="H528" s="16"/>
      <c r="I528" s="16"/>
      <c r="J528" s="16"/>
      <c r="K528" s="16"/>
      <c r="L528" s="16"/>
      <c r="M528" s="16"/>
      <c r="N528" s="16"/>
    </row>
    <row r="529" spans="2:14" ht="20.25" x14ac:dyDescent="0.3">
      <c r="B529" s="16"/>
      <c r="C529" s="16"/>
      <c r="D529" s="16"/>
      <c r="E529" s="16"/>
      <c r="F529" s="16"/>
      <c r="G529" s="16"/>
      <c r="H529" s="16"/>
      <c r="I529" s="16"/>
      <c r="J529" s="16"/>
      <c r="K529" s="16"/>
      <c r="L529" s="16"/>
      <c r="M529" s="16"/>
      <c r="N529" s="16"/>
    </row>
    <row r="530" spans="2:14" ht="20.25" x14ac:dyDescent="0.3">
      <c r="B530" s="16"/>
      <c r="C530" s="16"/>
      <c r="D530" s="16"/>
      <c r="E530" s="16"/>
      <c r="F530" s="16"/>
      <c r="G530" s="16"/>
      <c r="H530" s="16"/>
      <c r="I530" s="16"/>
      <c r="J530" s="16"/>
      <c r="K530" s="16"/>
      <c r="L530" s="16"/>
      <c r="M530" s="16"/>
      <c r="N530" s="16"/>
    </row>
    <row r="531" spans="2:14" ht="20.25" x14ac:dyDescent="0.3">
      <c r="B531" s="16"/>
      <c r="C531" s="16"/>
      <c r="D531" s="16"/>
      <c r="E531" s="16"/>
      <c r="F531" s="16"/>
      <c r="G531" s="16"/>
      <c r="H531" s="16"/>
      <c r="I531" s="16"/>
      <c r="J531" s="16"/>
      <c r="K531" s="16"/>
      <c r="L531" s="16"/>
      <c r="M531" s="16"/>
      <c r="N531" s="16"/>
    </row>
    <row r="532" spans="2:14" ht="20.25" x14ac:dyDescent="0.3">
      <c r="B532" s="16"/>
      <c r="C532" s="16"/>
      <c r="D532" s="16"/>
      <c r="E532" s="16"/>
      <c r="F532" s="16"/>
      <c r="G532" s="16"/>
      <c r="H532" s="16"/>
      <c r="I532" s="16"/>
      <c r="J532" s="16"/>
      <c r="K532" s="16"/>
      <c r="L532" s="16"/>
      <c r="M532" s="16"/>
      <c r="N532" s="16"/>
    </row>
    <row r="533" spans="2:14" ht="20.25" x14ac:dyDescent="0.3">
      <c r="B533" s="16"/>
      <c r="C533" s="16"/>
      <c r="D533" s="16"/>
      <c r="E533" s="16"/>
      <c r="F533" s="16"/>
      <c r="G533" s="16"/>
      <c r="H533" s="16"/>
      <c r="I533" s="16"/>
      <c r="J533" s="16"/>
      <c r="K533" s="16"/>
      <c r="L533" s="16"/>
      <c r="M533" s="16"/>
      <c r="N533" s="16"/>
    </row>
    <row r="534" spans="2:14" ht="20.25" x14ac:dyDescent="0.3">
      <c r="B534" s="16"/>
      <c r="C534" s="16"/>
      <c r="D534" s="16"/>
      <c r="E534" s="16"/>
      <c r="F534" s="16"/>
      <c r="G534" s="16"/>
      <c r="H534" s="16"/>
      <c r="I534" s="16"/>
      <c r="J534" s="16"/>
      <c r="K534" s="16"/>
      <c r="L534" s="16"/>
      <c r="M534" s="16"/>
      <c r="N534" s="16"/>
    </row>
    <row r="535" spans="2:14" ht="20.25" x14ac:dyDescent="0.3">
      <c r="B535" s="16"/>
      <c r="C535" s="16"/>
      <c r="D535" s="16"/>
      <c r="E535" s="16"/>
      <c r="F535" s="16"/>
      <c r="G535" s="16"/>
      <c r="H535" s="16"/>
      <c r="I535" s="16"/>
      <c r="J535" s="16"/>
      <c r="K535" s="16"/>
      <c r="L535" s="16"/>
      <c r="M535" s="16"/>
      <c r="N535" s="16"/>
    </row>
    <row r="536" spans="2:14" ht="20.25" x14ac:dyDescent="0.3">
      <c r="B536" s="16"/>
      <c r="C536" s="16"/>
      <c r="D536" s="16"/>
      <c r="E536" s="16"/>
      <c r="F536" s="16"/>
      <c r="G536" s="16"/>
      <c r="H536" s="16"/>
      <c r="I536" s="16"/>
      <c r="J536" s="16"/>
      <c r="K536" s="16"/>
      <c r="L536" s="16"/>
      <c r="M536" s="16"/>
      <c r="N536" s="16"/>
    </row>
    <row r="537" spans="2:14" ht="20.25" x14ac:dyDescent="0.3">
      <c r="B537" s="16"/>
      <c r="C537" s="16"/>
      <c r="D537" s="16"/>
      <c r="E537" s="16"/>
      <c r="F537" s="16"/>
      <c r="G537" s="16"/>
      <c r="H537" s="16"/>
      <c r="I537" s="16"/>
      <c r="J537" s="16"/>
      <c r="K537" s="16"/>
      <c r="L537" s="16"/>
      <c r="M537" s="16"/>
      <c r="N537" s="16"/>
    </row>
    <row r="538" spans="2:14" ht="20.25" x14ac:dyDescent="0.3">
      <c r="B538" s="16"/>
      <c r="C538" s="16"/>
      <c r="D538" s="16"/>
      <c r="E538" s="16"/>
      <c r="F538" s="16"/>
      <c r="G538" s="16"/>
      <c r="H538" s="16"/>
      <c r="I538" s="16"/>
      <c r="J538" s="16"/>
      <c r="K538" s="16"/>
      <c r="L538" s="16"/>
      <c r="M538" s="16"/>
      <c r="N538" s="16"/>
    </row>
    <row r="539" spans="2:14" ht="20.25" x14ac:dyDescent="0.3">
      <c r="B539" s="16"/>
      <c r="C539" s="16"/>
      <c r="D539" s="16"/>
      <c r="E539" s="16"/>
      <c r="F539" s="16"/>
      <c r="G539" s="16"/>
      <c r="H539" s="16"/>
      <c r="I539" s="16"/>
      <c r="J539" s="16"/>
      <c r="K539" s="16"/>
      <c r="L539" s="16"/>
      <c r="M539" s="16"/>
      <c r="N539" s="16"/>
    </row>
    <row r="540" spans="2:14" ht="20.25" x14ac:dyDescent="0.3">
      <c r="B540" s="16"/>
      <c r="C540" s="16"/>
      <c r="D540" s="16"/>
      <c r="E540" s="16"/>
      <c r="F540" s="16"/>
      <c r="G540" s="16"/>
      <c r="H540" s="16"/>
      <c r="I540" s="16"/>
      <c r="J540" s="16"/>
      <c r="K540" s="16"/>
      <c r="L540" s="16"/>
      <c r="M540" s="16"/>
      <c r="N540" s="16"/>
    </row>
    <row r="541" spans="2:14" ht="20.25" x14ac:dyDescent="0.3">
      <c r="B541" s="16"/>
      <c r="C541" s="16"/>
      <c r="D541" s="16"/>
      <c r="E541" s="16"/>
      <c r="F541" s="16"/>
      <c r="G541" s="16"/>
      <c r="H541" s="16"/>
      <c r="I541" s="16"/>
      <c r="J541" s="16"/>
      <c r="K541" s="16"/>
      <c r="L541" s="16"/>
      <c r="M541" s="16"/>
      <c r="N541" s="16"/>
    </row>
    <row r="542" spans="2:14" ht="20.25" x14ac:dyDescent="0.3">
      <c r="B542" s="16"/>
      <c r="C542" s="16"/>
      <c r="D542" s="16"/>
      <c r="E542" s="16"/>
      <c r="F542" s="16"/>
      <c r="G542" s="16"/>
      <c r="H542" s="16"/>
      <c r="I542" s="16"/>
      <c r="J542" s="16"/>
      <c r="K542" s="16"/>
      <c r="L542" s="16"/>
      <c r="M542" s="16"/>
      <c r="N542" s="16"/>
    </row>
    <row r="543" spans="2:14" ht="20.25" x14ac:dyDescent="0.3">
      <c r="B543" s="16"/>
      <c r="C543" s="16"/>
      <c r="D543" s="16"/>
      <c r="E543" s="16"/>
      <c r="F543" s="16"/>
      <c r="G543" s="16"/>
      <c r="H543" s="16"/>
      <c r="I543" s="16"/>
      <c r="J543" s="16"/>
      <c r="K543" s="16"/>
      <c r="L543" s="16"/>
      <c r="M543" s="16"/>
      <c r="N543" s="16"/>
    </row>
    <row r="544" spans="2:14" ht="20.25" x14ac:dyDescent="0.3">
      <c r="B544" s="16"/>
      <c r="C544" s="16"/>
      <c r="D544" s="16"/>
      <c r="E544" s="16"/>
      <c r="F544" s="16"/>
      <c r="G544" s="16"/>
      <c r="H544" s="16"/>
      <c r="I544" s="16"/>
      <c r="J544" s="16"/>
      <c r="K544" s="16"/>
      <c r="L544" s="16"/>
      <c r="M544" s="16"/>
      <c r="N544" s="16"/>
    </row>
    <row r="545" spans="2:14" ht="20.25" x14ac:dyDescent="0.3">
      <c r="B545" s="16"/>
      <c r="C545" s="16"/>
      <c r="D545" s="16"/>
      <c r="E545" s="16"/>
      <c r="F545" s="16"/>
      <c r="G545" s="16"/>
      <c r="H545" s="16"/>
      <c r="I545" s="16"/>
      <c r="J545" s="16"/>
      <c r="K545" s="16"/>
      <c r="L545" s="16"/>
      <c r="M545" s="16"/>
      <c r="N545" s="16"/>
    </row>
    <row r="546" spans="2:14" ht="20.25" x14ac:dyDescent="0.3">
      <c r="B546" s="16"/>
      <c r="C546" s="16"/>
      <c r="D546" s="16"/>
      <c r="E546" s="16"/>
      <c r="F546" s="16"/>
      <c r="G546" s="16"/>
      <c r="H546" s="16"/>
      <c r="I546" s="16"/>
      <c r="J546" s="16"/>
      <c r="K546" s="16"/>
      <c r="L546" s="16"/>
      <c r="M546" s="16"/>
      <c r="N546" s="16"/>
    </row>
    <row r="547" spans="2:14" ht="20.25" x14ac:dyDescent="0.3">
      <c r="B547" s="16"/>
      <c r="C547" s="16"/>
      <c r="D547" s="16"/>
      <c r="E547" s="16"/>
      <c r="F547" s="16"/>
      <c r="G547" s="16"/>
      <c r="H547" s="16"/>
      <c r="I547" s="16"/>
      <c r="J547" s="16"/>
      <c r="K547" s="16"/>
      <c r="L547" s="16"/>
      <c r="M547" s="16"/>
      <c r="N547" s="16"/>
    </row>
    <row r="548" spans="2:14" ht="20.25" x14ac:dyDescent="0.3">
      <c r="B548" s="16"/>
      <c r="C548" s="16"/>
      <c r="D548" s="16"/>
      <c r="E548" s="16"/>
      <c r="F548" s="16"/>
      <c r="G548" s="16"/>
      <c r="H548" s="16"/>
      <c r="I548" s="16"/>
      <c r="J548" s="16"/>
      <c r="K548" s="16"/>
      <c r="L548" s="16"/>
      <c r="M548" s="16"/>
      <c r="N548" s="16"/>
    </row>
    <row r="549" spans="2:14" ht="20.25" x14ac:dyDescent="0.3">
      <c r="B549" s="16"/>
      <c r="C549" s="16"/>
      <c r="D549" s="16"/>
      <c r="E549" s="16"/>
      <c r="F549" s="16"/>
      <c r="G549" s="16"/>
      <c r="H549" s="16"/>
      <c r="I549" s="16"/>
      <c r="J549" s="16"/>
      <c r="K549" s="16"/>
      <c r="L549" s="16"/>
      <c r="M549" s="16"/>
      <c r="N549" s="16"/>
    </row>
    <row r="550" spans="2:14" ht="20.25" x14ac:dyDescent="0.3">
      <c r="B550" s="16"/>
      <c r="C550" s="16"/>
      <c r="D550" s="16"/>
      <c r="E550" s="16"/>
      <c r="F550" s="16"/>
      <c r="G550" s="16"/>
      <c r="H550" s="16"/>
      <c r="I550" s="16"/>
      <c r="J550" s="16"/>
      <c r="K550" s="16"/>
      <c r="L550" s="16"/>
      <c r="M550" s="16"/>
      <c r="N550" s="16"/>
    </row>
    <row r="551" spans="2:14" ht="20.25" x14ac:dyDescent="0.3">
      <c r="B551" s="16"/>
      <c r="C551" s="16"/>
      <c r="D551" s="16"/>
      <c r="E551" s="16"/>
      <c r="F551" s="16"/>
      <c r="G551" s="16"/>
      <c r="H551" s="16"/>
      <c r="I551" s="16"/>
      <c r="J551" s="16"/>
      <c r="K551" s="16"/>
      <c r="L551" s="16"/>
      <c r="M551" s="16"/>
      <c r="N551" s="16"/>
    </row>
    <row r="552" spans="2:14" ht="20.25" x14ac:dyDescent="0.3">
      <c r="B552" s="16"/>
      <c r="C552" s="16"/>
      <c r="D552" s="16"/>
      <c r="E552" s="16"/>
      <c r="F552" s="16"/>
      <c r="G552" s="16"/>
      <c r="H552" s="16"/>
      <c r="I552" s="16"/>
      <c r="J552" s="16"/>
      <c r="K552" s="16"/>
      <c r="L552" s="16"/>
      <c r="M552" s="16"/>
      <c r="N552" s="16"/>
    </row>
    <row r="553" spans="2:14" ht="20.25" x14ac:dyDescent="0.3">
      <c r="B553" s="16"/>
      <c r="C553" s="16"/>
      <c r="D553" s="16"/>
      <c r="E553" s="16"/>
      <c r="F553" s="16"/>
      <c r="G553" s="16"/>
      <c r="H553" s="16"/>
      <c r="I553" s="16"/>
      <c r="J553" s="16"/>
      <c r="K553" s="16"/>
      <c r="L553" s="16"/>
      <c r="M553" s="16"/>
      <c r="N553" s="16"/>
    </row>
    <row r="554" spans="2:14" ht="20.25" x14ac:dyDescent="0.3">
      <c r="B554" s="16"/>
      <c r="C554" s="16"/>
      <c r="D554" s="16"/>
      <c r="E554" s="16"/>
      <c r="F554" s="16"/>
      <c r="G554" s="16"/>
      <c r="H554" s="16"/>
      <c r="I554" s="16"/>
      <c r="J554" s="16"/>
      <c r="K554" s="16"/>
      <c r="L554" s="16"/>
      <c r="M554" s="16"/>
      <c r="N554" s="16"/>
    </row>
    <row r="555" spans="2:14" ht="20.25" x14ac:dyDescent="0.3">
      <c r="B555" s="16"/>
      <c r="C555" s="16"/>
      <c r="D555" s="16"/>
      <c r="E555" s="16"/>
      <c r="F555" s="16"/>
      <c r="G555" s="16"/>
      <c r="H555" s="16"/>
      <c r="I555" s="16"/>
      <c r="J555" s="16"/>
      <c r="K555" s="16"/>
      <c r="L555" s="16"/>
      <c r="M555" s="16"/>
      <c r="N555" s="16"/>
    </row>
    <row r="556" spans="2:14" ht="20.25" x14ac:dyDescent="0.3">
      <c r="B556" s="16"/>
      <c r="C556" s="16"/>
      <c r="D556" s="16"/>
      <c r="E556" s="16"/>
      <c r="F556" s="16"/>
      <c r="G556" s="16"/>
      <c r="H556" s="16"/>
      <c r="I556" s="16"/>
      <c r="J556" s="16"/>
      <c r="K556" s="16"/>
      <c r="L556" s="16"/>
      <c r="M556" s="16"/>
      <c r="N556" s="16"/>
    </row>
    <row r="557" spans="2:14" ht="20.25" x14ac:dyDescent="0.3">
      <c r="B557" s="16"/>
      <c r="C557" s="16"/>
      <c r="D557" s="16"/>
      <c r="E557" s="16"/>
      <c r="F557" s="16"/>
      <c r="G557" s="16"/>
      <c r="H557" s="16"/>
      <c r="I557" s="16"/>
      <c r="J557" s="16"/>
      <c r="K557" s="16"/>
      <c r="L557" s="16"/>
      <c r="M557" s="16"/>
      <c r="N557" s="16"/>
    </row>
    <row r="558" spans="2:14" ht="20.25" x14ac:dyDescent="0.3">
      <c r="B558" s="16"/>
      <c r="C558" s="16"/>
      <c r="D558" s="16"/>
      <c r="E558" s="16"/>
      <c r="F558" s="16"/>
      <c r="G558" s="16"/>
      <c r="H558" s="16"/>
      <c r="I558" s="16"/>
      <c r="J558" s="16"/>
      <c r="K558" s="16"/>
      <c r="L558" s="16"/>
      <c r="M558" s="16"/>
      <c r="N558" s="16"/>
    </row>
    <row r="559" spans="2:14" ht="20.25" x14ac:dyDescent="0.3">
      <c r="B559" s="16"/>
      <c r="C559" s="16"/>
      <c r="D559" s="16"/>
      <c r="E559" s="16"/>
      <c r="F559" s="16"/>
      <c r="G559" s="16"/>
      <c r="H559" s="16"/>
      <c r="I559" s="16"/>
      <c r="J559" s="16"/>
      <c r="K559" s="16"/>
      <c r="L559" s="16"/>
      <c r="M559" s="16"/>
      <c r="N559" s="16"/>
    </row>
    <row r="560" spans="2:14" ht="20.25" x14ac:dyDescent="0.3">
      <c r="B560" s="16"/>
      <c r="C560" s="16"/>
      <c r="D560" s="16"/>
      <c r="E560" s="16"/>
      <c r="F560" s="16"/>
      <c r="G560" s="16"/>
      <c r="H560" s="16"/>
      <c r="I560" s="16"/>
      <c r="J560" s="16"/>
      <c r="K560" s="16"/>
      <c r="L560" s="16"/>
      <c r="M560" s="16"/>
      <c r="N560" s="16"/>
    </row>
    <row r="561" spans="2:14" ht="20.25" x14ac:dyDescent="0.3">
      <c r="B561" s="16"/>
      <c r="C561" s="16"/>
      <c r="D561" s="16"/>
      <c r="E561" s="16"/>
      <c r="F561" s="16"/>
      <c r="G561" s="16"/>
      <c r="H561" s="16"/>
      <c r="I561" s="16"/>
      <c r="J561" s="16"/>
      <c r="K561" s="16"/>
      <c r="L561" s="16"/>
      <c r="M561" s="16"/>
      <c r="N561" s="16"/>
    </row>
    <row r="562" spans="2:14" ht="20.25" x14ac:dyDescent="0.3">
      <c r="B562" s="16"/>
      <c r="C562" s="16"/>
      <c r="D562" s="16"/>
      <c r="E562" s="16"/>
      <c r="F562" s="16"/>
      <c r="G562" s="16"/>
      <c r="H562" s="16"/>
      <c r="I562" s="16"/>
      <c r="J562" s="16"/>
      <c r="K562" s="16"/>
      <c r="L562" s="16"/>
      <c r="M562" s="16"/>
      <c r="N562" s="16"/>
    </row>
    <row r="563" spans="2:14" ht="20.25" x14ac:dyDescent="0.3">
      <c r="B563" s="16"/>
      <c r="C563" s="16"/>
      <c r="D563" s="16"/>
      <c r="E563" s="16"/>
      <c r="F563" s="16"/>
      <c r="G563" s="16"/>
      <c r="H563" s="16"/>
      <c r="I563" s="16"/>
      <c r="J563" s="16"/>
      <c r="K563" s="16"/>
      <c r="L563" s="16"/>
      <c r="M563" s="16"/>
      <c r="N563" s="16"/>
    </row>
    <row r="564" spans="2:14" ht="20.25" x14ac:dyDescent="0.3">
      <c r="B564" s="16"/>
      <c r="C564" s="16"/>
      <c r="D564" s="16"/>
      <c r="E564" s="16"/>
      <c r="F564" s="16"/>
      <c r="G564" s="16"/>
      <c r="H564" s="16"/>
      <c r="I564" s="16"/>
      <c r="J564" s="16"/>
      <c r="K564" s="16"/>
      <c r="L564" s="16"/>
      <c r="M564" s="16"/>
      <c r="N564" s="16"/>
    </row>
    <row r="565" spans="2:14" ht="20.25" x14ac:dyDescent="0.3">
      <c r="B565" s="16"/>
      <c r="C565" s="16"/>
      <c r="D565" s="16"/>
      <c r="E565" s="16"/>
      <c r="F565" s="16"/>
      <c r="G565" s="16"/>
      <c r="H565" s="16"/>
      <c r="I565" s="16"/>
      <c r="J565" s="16"/>
      <c r="K565" s="16"/>
      <c r="L565" s="16"/>
      <c r="M565" s="16"/>
      <c r="N565" s="16"/>
    </row>
    <row r="566" spans="2:14" ht="20.25" x14ac:dyDescent="0.3">
      <c r="B566" s="16"/>
      <c r="C566" s="16"/>
      <c r="D566" s="16"/>
      <c r="E566" s="16"/>
      <c r="F566" s="16"/>
      <c r="G566" s="16"/>
      <c r="H566" s="16"/>
      <c r="I566" s="16"/>
      <c r="J566" s="16"/>
      <c r="K566" s="16"/>
      <c r="L566" s="16"/>
      <c r="M566" s="16"/>
      <c r="N566" s="16"/>
    </row>
    <row r="567" spans="2:14" ht="20.25" x14ac:dyDescent="0.3">
      <c r="B567" s="16"/>
      <c r="C567" s="16"/>
      <c r="D567" s="16"/>
      <c r="E567" s="16"/>
      <c r="F567" s="16"/>
      <c r="G567" s="16"/>
      <c r="H567" s="16"/>
      <c r="I567" s="16"/>
      <c r="J567" s="16"/>
      <c r="K567" s="16"/>
      <c r="L567" s="16"/>
      <c r="M567" s="16"/>
      <c r="N567" s="16"/>
    </row>
    <row r="568" spans="2:14" ht="20.25" x14ac:dyDescent="0.3">
      <c r="B568" s="16"/>
      <c r="C568" s="16"/>
      <c r="D568" s="16"/>
      <c r="E568" s="16"/>
      <c r="F568" s="16"/>
      <c r="G568" s="16"/>
      <c r="H568" s="16"/>
      <c r="I568" s="16"/>
      <c r="J568" s="16"/>
      <c r="K568" s="16"/>
      <c r="L568" s="16"/>
      <c r="M568" s="16"/>
      <c r="N568" s="16"/>
    </row>
    <row r="569" spans="2:14" ht="20.25" x14ac:dyDescent="0.3">
      <c r="B569" s="16"/>
      <c r="C569" s="16"/>
      <c r="D569" s="16"/>
      <c r="E569" s="16"/>
      <c r="F569" s="16"/>
      <c r="G569" s="16"/>
      <c r="H569" s="16"/>
      <c r="I569" s="16"/>
      <c r="J569" s="16"/>
      <c r="K569" s="16"/>
      <c r="L569" s="16"/>
      <c r="M569" s="16"/>
      <c r="N569" s="16"/>
    </row>
    <row r="570" spans="2:14" ht="20.25" x14ac:dyDescent="0.3">
      <c r="B570" s="16"/>
      <c r="C570" s="16"/>
      <c r="D570" s="16"/>
      <c r="E570" s="16"/>
      <c r="F570" s="16"/>
      <c r="G570" s="16"/>
      <c r="H570" s="16"/>
      <c r="I570" s="16"/>
      <c r="J570" s="16"/>
      <c r="K570" s="16"/>
      <c r="L570" s="16"/>
      <c r="M570" s="16"/>
      <c r="N570" s="16"/>
    </row>
    <row r="571" spans="2:14" ht="20.25" x14ac:dyDescent="0.3">
      <c r="B571" s="16"/>
      <c r="C571" s="16"/>
      <c r="D571" s="16"/>
      <c r="E571" s="16"/>
      <c r="F571" s="16"/>
      <c r="G571" s="16"/>
      <c r="H571" s="16"/>
      <c r="I571" s="16"/>
      <c r="J571" s="16"/>
      <c r="K571" s="16"/>
      <c r="L571" s="16"/>
      <c r="M571" s="16"/>
      <c r="N571" s="16"/>
    </row>
    <row r="572" spans="2:14" ht="20.25" x14ac:dyDescent="0.3">
      <c r="B572" s="16"/>
      <c r="C572" s="16"/>
      <c r="D572" s="16"/>
      <c r="E572" s="16"/>
      <c r="F572" s="16"/>
      <c r="G572" s="16"/>
      <c r="H572" s="16"/>
      <c r="I572" s="16"/>
      <c r="J572" s="16"/>
      <c r="K572" s="16"/>
      <c r="L572" s="16"/>
      <c r="M572" s="16"/>
      <c r="N572" s="16"/>
    </row>
    <row r="573" spans="2:14" ht="20.25" x14ac:dyDescent="0.3">
      <c r="B573" s="16"/>
      <c r="C573" s="16"/>
      <c r="D573" s="16"/>
      <c r="E573" s="16"/>
      <c r="F573" s="16"/>
      <c r="G573" s="16"/>
      <c r="H573" s="16"/>
      <c r="I573" s="16"/>
      <c r="J573" s="16"/>
      <c r="K573" s="16"/>
      <c r="L573" s="16"/>
      <c r="M573" s="16"/>
      <c r="N573" s="16"/>
    </row>
    <row r="574" spans="2:14" ht="20.25" x14ac:dyDescent="0.3">
      <c r="B574" s="16"/>
      <c r="C574" s="16"/>
      <c r="D574" s="16"/>
      <c r="E574" s="16"/>
      <c r="F574" s="16"/>
      <c r="G574" s="16"/>
      <c r="H574" s="16"/>
      <c r="I574" s="16"/>
      <c r="J574" s="16"/>
      <c r="K574" s="16"/>
      <c r="L574" s="16"/>
      <c r="M574" s="16"/>
      <c r="N574" s="16"/>
    </row>
    <row r="575" spans="2:14" ht="20.25" x14ac:dyDescent="0.3">
      <c r="B575" s="16"/>
      <c r="C575" s="16"/>
      <c r="D575" s="16"/>
      <c r="E575" s="16"/>
      <c r="F575" s="16"/>
      <c r="G575" s="16"/>
      <c r="H575" s="16"/>
      <c r="I575" s="16"/>
      <c r="J575" s="16"/>
      <c r="K575" s="16"/>
      <c r="L575" s="16"/>
      <c r="M575" s="16"/>
      <c r="N575" s="16"/>
    </row>
    <row r="576" spans="2:14" ht="20.25" x14ac:dyDescent="0.3">
      <c r="B576" s="16"/>
      <c r="C576" s="16"/>
      <c r="D576" s="16"/>
      <c r="E576" s="16"/>
      <c r="F576" s="16"/>
      <c r="G576" s="16"/>
      <c r="H576" s="16"/>
      <c r="I576" s="16"/>
      <c r="J576" s="16"/>
      <c r="K576" s="16"/>
      <c r="L576" s="16"/>
      <c r="M576" s="16"/>
      <c r="N576" s="16"/>
    </row>
    <row r="577" spans="2:14" ht="20.25" x14ac:dyDescent="0.3">
      <c r="B577" s="16"/>
      <c r="C577" s="16"/>
      <c r="D577" s="16"/>
      <c r="E577" s="16"/>
      <c r="F577" s="16"/>
      <c r="G577" s="16"/>
      <c r="H577" s="16"/>
      <c r="I577" s="16"/>
      <c r="J577" s="16"/>
      <c r="K577" s="16"/>
      <c r="L577" s="16"/>
      <c r="M577" s="16"/>
      <c r="N577" s="16"/>
    </row>
    <row r="578" spans="2:14" ht="20.25" x14ac:dyDescent="0.3">
      <c r="B578" s="16"/>
      <c r="C578" s="16"/>
      <c r="D578" s="16"/>
      <c r="E578" s="16"/>
      <c r="F578" s="16"/>
      <c r="G578" s="16"/>
      <c r="H578" s="16"/>
      <c r="I578" s="16"/>
      <c r="J578" s="16"/>
      <c r="K578" s="16"/>
      <c r="L578" s="16"/>
      <c r="M578" s="16"/>
      <c r="N578" s="16"/>
    </row>
    <row r="579" spans="2:14" ht="20.25" x14ac:dyDescent="0.3">
      <c r="B579" s="16"/>
      <c r="C579" s="16"/>
      <c r="D579" s="16"/>
      <c r="E579" s="16"/>
      <c r="F579" s="16"/>
      <c r="G579" s="16"/>
      <c r="H579" s="16"/>
      <c r="I579" s="16"/>
      <c r="J579" s="16"/>
      <c r="K579" s="16"/>
      <c r="L579" s="16"/>
      <c r="M579" s="16"/>
      <c r="N579" s="16"/>
    </row>
    <row r="580" spans="2:14" ht="20.25" x14ac:dyDescent="0.3">
      <c r="B580" s="16"/>
      <c r="C580" s="16"/>
      <c r="D580" s="16"/>
      <c r="E580" s="16"/>
      <c r="F580" s="16"/>
      <c r="G580" s="16"/>
      <c r="H580" s="16"/>
      <c r="I580" s="16"/>
      <c r="J580" s="16"/>
      <c r="K580" s="16"/>
      <c r="L580" s="16"/>
      <c r="M580" s="16"/>
      <c r="N580" s="16"/>
    </row>
    <row r="581" spans="2:14" ht="20.25" x14ac:dyDescent="0.3">
      <c r="B581" s="16"/>
      <c r="C581" s="16"/>
      <c r="D581" s="16"/>
      <c r="E581" s="16"/>
      <c r="F581" s="16"/>
      <c r="G581" s="16"/>
      <c r="H581" s="16"/>
      <c r="I581" s="16"/>
      <c r="J581" s="16"/>
      <c r="K581" s="16"/>
      <c r="L581" s="16"/>
      <c r="M581" s="16"/>
      <c r="N581" s="16"/>
    </row>
    <row r="582" spans="2:14" ht="20.25" x14ac:dyDescent="0.3">
      <c r="B582" s="16"/>
      <c r="C582" s="16"/>
      <c r="D582" s="16"/>
      <c r="E582" s="16"/>
      <c r="F582" s="16"/>
      <c r="G582" s="16"/>
      <c r="H582" s="16"/>
      <c r="I582" s="16"/>
      <c r="J582" s="16"/>
      <c r="K582" s="16"/>
      <c r="L582" s="16"/>
      <c r="M582" s="16"/>
      <c r="N582" s="16"/>
    </row>
    <row r="583" spans="2:14" ht="20.25" x14ac:dyDescent="0.3">
      <c r="B583" s="16"/>
      <c r="C583" s="16"/>
      <c r="D583" s="16"/>
      <c r="E583" s="16"/>
      <c r="F583" s="16"/>
      <c r="G583" s="16"/>
      <c r="H583" s="16"/>
      <c r="I583" s="16"/>
      <c r="J583" s="16"/>
      <c r="K583" s="16"/>
      <c r="L583" s="16"/>
      <c r="M583" s="16"/>
      <c r="N583" s="16"/>
    </row>
    <row r="584" spans="2:14" ht="20.25" x14ac:dyDescent="0.3">
      <c r="B584" s="16"/>
      <c r="C584" s="16"/>
      <c r="D584" s="16"/>
      <c r="E584" s="16"/>
      <c r="F584" s="16"/>
      <c r="G584" s="16"/>
      <c r="H584" s="16"/>
      <c r="I584" s="16"/>
      <c r="J584" s="16"/>
      <c r="K584" s="16"/>
      <c r="L584" s="16"/>
      <c r="M584" s="16"/>
      <c r="N584" s="16"/>
    </row>
    <row r="585" spans="2:14" ht="20.25" x14ac:dyDescent="0.3">
      <c r="B585" s="16"/>
      <c r="C585" s="16"/>
      <c r="D585" s="16"/>
      <c r="E585" s="16"/>
      <c r="F585" s="16"/>
      <c r="G585" s="16"/>
      <c r="H585" s="16"/>
      <c r="I585" s="16"/>
      <c r="J585" s="16"/>
      <c r="K585" s="16"/>
      <c r="L585" s="16"/>
      <c r="M585" s="16"/>
      <c r="N585" s="16"/>
    </row>
    <row r="586" spans="2:14" ht="20.25" x14ac:dyDescent="0.3">
      <c r="B586" s="16"/>
      <c r="C586" s="16"/>
      <c r="D586" s="16"/>
      <c r="E586" s="16"/>
      <c r="F586" s="16"/>
      <c r="G586" s="16"/>
      <c r="H586" s="16"/>
      <c r="I586" s="16"/>
      <c r="J586" s="16"/>
      <c r="K586" s="16"/>
      <c r="L586" s="16"/>
      <c r="M586" s="16"/>
      <c r="N586" s="16"/>
    </row>
    <row r="587" spans="2:14" ht="20.25" x14ac:dyDescent="0.3">
      <c r="B587" s="16"/>
      <c r="C587" s="16"/>
      <c r="D587" s="16"/>
      <c r="E587" s="16"/>
      <c r="F587" s="16"/>
      <c r="G587" s="16"/>
      <c r="H587" s="16"/>
      <c r="I587" s="16"/>
      <c r="J587" s="16"/>
      <c r="K587" s="16"/>
      <c r="L587" s="16"/>
      <c r="M587" s="16"/>
      <c r="N587" s="16"/>
    </row>
    <row r="588" spans="2:14" ht="20.25" x14ac:dyDescent="0.3">
      <c r="B588" s="16"/>
      <c r="C588" s="16"/>
      <c r="D588" s="16"/>
      <c r="E588" s="16"/>
      <c r="F588" s="16"/>
      <c r="G588" s="16"/>
      <c r="H588" s="16"/>
      <c r="I588" s="16"/>
      <c r="J588" s="16"/>
      <c r="K588" s="16"/>
      <c r="L588" s="16"/>
      <c r="M588" s="16"/>
      <c r="N588" s="16"/>
    </row>
    <row r="589" spans="2:14" ht="20.25" x14ac:dyDescent="0.3">
      <c r="B589" s="16"/>
      <c r="C589" s="16"/>
      <c r="D589" s="16"/>
      <c r="E589" s="16"/>
      <c r="F589" s="16"/>
      <c r="G589" s="16"/>
      <c r="H589" s="16"/>
      <c r="I589" s="16"/>
      <c r="J589" s="16"/>
      <c r="K589" s="16"/>
      <c r="L589" s="16"/>
      <c r="M589" s="16"/>
      <c r="N589" s="16"/>
    </row>
    <row r="590" spans="2:14" ht="20.25" x14ac:dyDescent="0.3">
      <c r="B590" s="16"/>
      <c r="C590" s="16"/>
      <c r="D590" s="16"/>
      <c r="E590" s="16"/>
      <c r="F590" s="16"/>
      <c r="G590" s="16"/>
      <c r="H590" s="16"/>
      <c r="I590" s="16"/>
      <c r="J590" s="16"/>
      <c r="K590" s="16"/>
      <c r="L590" s="16"/>
      <c r="M590" s="16"/>
      <c r="N590" s="16"/>
    </row>
    <row r="591" spans="2:14" ht="20.25" x14ac:dyDescent="0.3">
      <c r="B591" s="16"/>
      <c r="C591" s="16"/>
      <c r="D591" s="16"/>
      <c r="E591" s="16"/>
      <c r="F591" s="16"/>
      <c r="G591" s="16"/>
      <c r="H591" s="16"/>
      <c r="I591" s="16"/>
      <c r="J591" s="16"/>
      <c r="K591" s="16"/>
      <c r="L591" s="16"/>
      <c r="M591" s="16"/>
      <c r="N591" s="16"/>
    </row>
    <row r="592" spans="2:14" ht="20.25" x14ac:dyDescent="0.3">
      <c r="B592" s="16"/>
      <c r="C592" s="16"/>
      <c r="D592" s="16"/>
      <c r="E592" s="16"/>
      <c r="F592" s="16"/>
      <c r="G592" s="16"/>
      <c r="H592" s="16"/>
      <c r="I592" s="16"/>
      <c r="J592" s="16"/>
      <c r="K592" s="16"/>
      <c r="L592" s="16"/>
      <c r="M592" s="16"/>
      <c r="N592" s="16"/>
    </row>
    <row r="593" spans="2:14" ht="20.25" x14ac:dyDescent="0.3">
      <c r="B593" s="16"/>
      <c r="C593" s="16"/>
      <c r="D593" s="16"/>
      <c r="E593" s="16"/>
      <c r="F593" s="16"/>
      <c r="G593" s="16"/>
      <c r="H593" s="16"/>
      <c r="I593" s="16"/>
      <c r="J593" s="16"/>
      <c r="K593" s="16"/>
      <c r="L593" s="16"/>
      <c r="M593" s="16"/>
      <c r="N593" s="16"/>
    </row>
    <row r="594" spans="2:14" ht="20.25" x14ac:dyDescent="0.3">
      <c r="B594" s="16"/>
      <c r="C594" s="16"/>
      <c r="D594" s="16"/>
      <c r="E594" s="16"/>
      <c r="F594" s="16"/>
      <c r="G594" s="16"/>
      <c r="H594" s="16"/>
      <c r="I594" s="16"/>
      <c r="J594" s="16"/>
      <c r="K594" s="16"/>
      <c r="L594" s="16"/>
      <c r="M594" s="16"/>
      <c r="N594" s="16"/>
    </row>
  </sheetData>
  <sheetProtection algorithmName="SHA-512" hashValue="tFj7a7IIG4JqEc3RCpNG4eBFMsct/G5WxfEjwKXqAzqQpraXavXfAIluK29tFSsiafBytE0Xu64k42nc4lLJDw==" saltValue="dXrrdzWNCG8YacBDWji2LQ==" spinCount="100000" sheet="1" objects="1" scenarios="1" selectLockedCells="1" selectUnlockedCells="1"/>
  <mergeCells count="13">
    <mergeCell ref="C106:N106"/>
    <mergeCell ref="C97:G97"/>
    <mergeCell ref="C98:G98"/>
    <mergeCell ref="C99:G99"/>
    <mergeCell ref="C104:N104"/>
    <mergeCell ref="C105:N105"/>
    <mergeCell ref="C101:G101"/>
    <mergeCell ref="C102:G102"/>
    <mergeCell ref="C92:G92"/>
    <mergeCell ref="C93:G93"/>
    <mergeCell ref="C94:G94"/>
    <mergeCell ref="C95:G95"/>
    <mergeCell ref="C96:G96"/>
  </mergeCells>
  <pageMargins left="0.7" right="0.7" top="0.75" bottom="0.75" header="0.3" footer="0.3"/>
  <pageSetup paperSize="9" orientation="portrait" r:id="rId1"/>
  <headerFooter>
    <oddFooter>&amp;C&amp;1#&amp;"Calibri"&amp;10&amp;K000000OFFICIAL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ISA</vt:lpstr>
      <vt:lpstr>GUIDANCE v2.5</vt:lpstr>
    </vt:vector>
  </TitlesOfParts>
  <Company>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Johnson</dc:creator>
  <cp:lastModifiedBy>Collins, Dominic (HR POD Tax Academy)</cp:lastModifiedBy>
  <dcterms:created xsi:type="dcterms:W3CDTF">2005-02-22T11:29:45Z</dcterms:created>
  <dcterms:modified xsi:type="dcterms:W3CDTF">2021-03-26T09:14:44Z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2021-03-25T10:22:35Z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c28f19c4-c789-440a-95a0-9f5d4ceb53a9</vt:lpwstr>
  </property>
  <property fmtid="{D5CDD505-2E9C-101B-9397-08002B2CF9AE}" pid="8" name="MSIP_Label_f9af038e-07b4-4369-a678-c835687cb272_ContentBits">
    <vt:lpwstr>2</vt:lpwstr>
  </property>
</Properties>
</file>